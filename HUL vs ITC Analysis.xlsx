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skruti\Downloads\"/>
    </mc:Choice>
  </mc:AlternateContent>
  <xr:revisionPtr revIDLastSave="0" documentId="13_ncr:1_{3EF83DDB-208C-4C4C-B9A9-17583FD40152}" xr6:coauthVersionLast="47" xr6:coauthVersionMax="47" xr10:uidLastSave="{00000000-0000-0000-0000-000000000000}"/>
  <bookViews>
    <workbookView xWindow="-108" yWindow="-108" windowWidth="23256" windowHeight="12456" firstSheet="2" activeTab="4" xr2:uid="{6969DB78-E176-497B-9648-E8C31BE0A78B}"/>
  </bookViews>
  <sheets>
    <sheet name="HUL – Comparative Balance Sheet" sheetId="1" r:id="rId1"/>
    <sheet name="HUL – Common-Size Balance Sheet" sheetId="2" r:id="rId2"/>
    <sheet name="ITC – Comparative Balance Sheet" sheetId="3" r:id="rId3"/>
    <sheet name="ITC – Common-Size Balance Sheet" sheetId="4" r:id="rId4"/>
    <sheet name="Comparison Insights (HUL vs ITC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H7" i="4"/>
  <c r="H8" i="4"/>
  <c r="H9" i="4"/>
  <c r="H10" i="4"/>
  <c r="H12" i="4"/>
  <c r="H13" i="4"/>
  <c r="H14" i="4"/>
  <c r="H15" i="4"/>
  <c r="H16" i="4"/>
  <c r="H17" i="4"/>
  <c r="H18" i="4"/>
  <c r="H19" i="4"/>
  <c r="H20" i="4"/>
  <c r="H21" i="4"/>
  <c r="H22" i="4"/>
  <c r="H23" i="4"/>
  <c r="H26" i="4"/>
  <c r="H27" i="4"/>
  <c r="H28" i="4"/>
  <c r="H29" i="4"/>
  <c r="H30" i="4"/>
  <c r="H31" i="4"/>
  <c r="H32" i="4"/>
  <c r="H33" i="4"/>
  <c r="H34" i="4"/>
  <c r="H35" i="4"/>
  <c r="H37" i="4"/>
  <c r="H38" i="4"/>
  <c r="H39" i="4"/>
  <c r="H40" i="4"/>
  <c r="H41" i="4"/>
  <c r="H42" i="4"/>
  <c r="H43" i="4"/>
  <c r="H44" i="4"/>
  <c r="H5" i="4"/>
  <c r="G6" i="4"/>
  <c r="G7" i="4"/>
  <c r="G8" i="4"/>
  <c r="G9" i="4"/>
  <c r="G10" i="4"/>
  <c r="G12" i="4"/>
  <c r="G13" i="4"/>
  <c r="G14" i="4"/>
  <c r="G15" i="4"/>
  <c r="G16" i="4"/>
  <c r="G17" i="4"/>
  <c r="G18" i="4"/>
  <c r="G19" i="4"/>
  <c r="G20" i="4"/>
  <c r="G21" i="4"/>
  <c r="G22" i="4"/>
  <c r="G23" i="4"/>
  <c r="G26" i="4"/>
  <c r="G27" i="4"/>
  <c r="G28" i="4"/>
  <c r="G29" i="4"/>
  <c r="G30" i="4"/>
  <c r="G31" i="4"/>
  <c r="G32" i="4"/>
  <c r="G33" i="4"/>
  <c r="G34" i="4"/>
  <c r="G35" i="4"/>
  <c r="G37" i="4"/>
  <c r="G38" i="4"/>
  <c r="G39" i="4"/>
  <c r="G40" i="4"/>
  <c r="G41" i="4"/>
  <c r="G42" i="4"/>
  <c r="G43" i="4"/>
  <c r="G44" i="4"/>
  <c r="G5" i="4"/>
  <c r="H6" i="3"/>
  <c r="H7" i="3"/>
  <c r="H8" i="3"/>
  <c r="H9" i="3"/>
  <c r="H10" i="3"/>
  <c r="H12" i="3"/>
  <c r="H13" i="3"/>
  <c r="H14" i="3"/>
  <c r="H15" i="3"/>
  <c r="H16" i="3"/>
  <c r="H18" i="3"/>
  <c r="H19" i="3"/>
  <c r="H20" i="3"/>
  <c r="H21" i="3"/>
  <c r="H22" i="3"/>
  <c r="H23" i="3"/>
  <c r="H26" i="3"/>
  <c r="H27" i="3"/>
  <c r="H28" i="3"/>
  <c r="H29" i="3"/>
  <c r="H30" i="3"/>
  <c r="H31" i="3"/>
  <c r="H32" i="3"/>
  <c r="H33" i="3"/>
  <c r="H34" i="3"/>
  <c r="H35" i="3"/>
  <c r="H37" i="3"/>
  <c r="H38" i="3"/>
  <c r="H39" i="3"/>
  <c r="H40" i="3"/>
  <c r="H41" i="3"/>
  <c r="H42" i="3"/>
  <c r="H43" i="3"/>
  <c r="H44" i="3"/>
  <c r="H5" i="3"/>
  <c r="G6" i="3"/>
  <c r="G7" i="3"/>
  <c r="G8" i="3"/>
  <c r="G9" i="3"/>
  <c r="G10" i="3"/>
  <c r="G12" i="3"/>
  <c r="G13" i="3"/>
  <c r="G14" i="3"/>
  <c r="G15" i="3"/>
  <c r="G16" i="3"/>
  <c r="G18" i="3"/>
  <c r="G19" i="3"/>
  <c r="G20" i="3"/>
  <c r="G21" i="3"/>
  <c r="G22" i="3"/>
  <c r="G23" i="3"/>
  <c r="G26" i="3"/>
  <c r="G27" i="3"/>
  <c r="G28" i="3"/>
  <c r="G29" i="3"/>
  <c r="G30" i="3"/>
  <c r="G31" i="3"/>
  <c r="G32" i="3"/>
  <c r="G33" i="3"/>
  <c r="G34" i="3"/>
  <c r="G35" i="3"/>
  <c r="G37" i="3"/>
  <c r="G38" i="3"/>
  <c r="G39" i="3"/>
  <c r="G40" i="3"/>
  <c r="G41" i="3"/>
  <c r="G42" i="3"/>
  <c r="G43" i="3"/>
  <c r="G44" i="3"/>
  <c r="G5" i="3"/>
  <c r="H6" i="2"/>
  <c r="H7" i="2"/>
  <c r="H8" i="2"/>
  <c r="H9" i="2"/>
  <c r="H11" i="2"/>
  <c r="H12" i="2"/>
  <c r="H13" i="2"/>
  <c r="H14" i="2"/>
  <c r="H16" i="2"/>
  <c r="H17" i="2"/>
  <c r="H18" i="2"/>
  <c r="H19" i="2"/>
  <c r="H20" i="2"/>
  <c r="H23" i="2"/>
  <c r="H24" i="2"/>
  <c r="H25" i="2"/>
  <c r="H26" i="2"/>
  <c r="H27" i="2"/>
  <c r="H28" i="2"/>
  <c r="H29" i="2"/>
  <c r="H30" i="2"/>
  <c r="H32" i="2"/>
  <c r="H33" i="2"/>
  <c r="H34" i="2"/>
  <c r="H35" i="2"/>
  <c r="H36" i="2"/>
  <c r="H37" i="2"/>
  <c r="H38" i="2"/>
  <c r="H39" i="2"/>
  <c r="H5" i="2"/>
  <c r="G6" i="2"/>
  <c r="G7" i="2"/>
  <c r="G8" i="2"/>
  <c r="G9" i="2"/>
  <c r="G11" i="2"/>
  <c r="G12" i="2"/>
  <c r="G13" i="2"/>
  <c r="G14" i="2"/>
  <c r="G16" i="2"/>
  <c r="G17" i="2"/>
  <c r="G18" i="2"/>
  <c r="G19" i="2"/>
  <c r="G20" i="2"/>
  <c r="G23" i="2"/>
  <c r="G24" i="2"/>
  <c r="G25" i="2"/>
  <c r="G26" i="2"/>
  <c r="G27" i="2"/>
  <c r="G28" i="2"/>
  <c r="G29" i="2"/>
  <c r="G30" i="2"/>
  <c r="G32" i="2"/>
  <c r="G33" i="2"/>
  <c r="G34" i="2"/>
  <c r="G35" i="2"/>
  <c r="G36" i="2"/>
  <c r="G37" i="2"/>
  <c r="G38" i="2"/>
  <c r="G39" i="2"/>
  <c r="G5" i="2"/>
  <c r="H39" i="1"/>
  <c r="H38" i="1"/>
  <c r="H37" i="1"/>
  <c r="H36" i="1"/>
  <c r="H35" i="1"/>
  <c r="H34" i="1"/>
  <c r="H33" i="1"/>
  <c r="H32" i="1"/>
  <c r="H30" i="1"/>
  <c r="H29" i="1"/>
  <c r="H28" i="1"/>
  <c r="H27" i="1"/>
  <c r="H26" i="1"/>
  <c r="H25" i="1"/>
  <c r="H24" i="1"/>
  <c r="H23" i="1"/>
  <c r="H20" i="1"/>
  <c r="H19" i="1"/>
  <c r="H18" i="1"/>
  <c r="H17" i="1"/>
  <c r="H16" i="1"/>
  <c r="H14" i="1"/>
  <c r="H13" i="1"/>
  <c r="H12" i="1"/>
  <c r="H11" i="1"/>
  <c r="H9" i="1"/>
  <c r="H8" i="1"/>
  <c r="H7" i="1"/>
  <c r="H6" i="1"/>
  <c r="H5" i="1"/>
  <c r="G39" i="1"/>
  <c r="G38" i="1"/>
  <c r="G37" i="1"/>
  <c r="G36" i="1"/>
  <c r="G35" i="1"/>
  <c r="G34" i="1"/>
  <c r="G33" i="1"/>
  <c r="G32" i="1"/>
  <c r="G30" i="1"/>
  <c r="G29" i="1"/>
  <c r="G28" i="1"/>
  <c r="G27" i="1"/>
  <c r="G26" i="1"/>
  <c r="G25" i="1"/>
  <c r="G24" i="1"/>
  <c r="G23" i="1"/>
  <c r="G20" i="1"/>
  <c r="G19" i="1"/>
  <c r="G18" i="1"/>
  <c r="G17" i="1"/>
  <c r="G16" i="1"/>
  <c r="G14" i="1"/>
  <c r="G13" i="1"/>
  <c r="G12" i="1"/>
  <c r="G11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<sst xmlns="http://schemas.openxmlformats.org/spreadsheetml/2006/main" count="193" uniqueCount="64">
  <si>
    <t>Particulars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</si>
  <si>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</si>
  <si>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</si>
  <si>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</si>
  <si>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</si>
  <si>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</si>
  <si>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</si>
  <si>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</si>
  <si>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NON-CURRENT LIABILITIES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</si>
  <si>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</si>
  <si>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</si>
  <si>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</si>
  <si>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</si>
  <si>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</si>
  <si>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</si>
  <si>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</si>
  <si>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</si>
  <si>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</si>
  <si>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</si>
  <si>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</si>
  <si>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</si>
  <si>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</si>
  <si>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</si>
  <si>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</si>
  <si>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Fixed Assets</t>
  </si>
  <si>
    <t>Non-Current Investments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</si>
  <si>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</si>
  <si>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</si>
  <si>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</si>
  <si>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</si>
  <si>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</si>
  <si>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</si>
  <si>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</si>
  <si>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</si>
  <si>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</si>
  <si>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</si>
  <si>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</si>
  <si>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</si>
  <si>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Previous Year 2024 (₹)</t>
  </si>
  <si>
    <t>Current Year 2025 (₹)</t>
  </si>
  <si>
    <t>Increase / Decrease (₹)</t>
  </si>
  <si>
    <t>% Change</t>
  </si>
  <si>
    <t>Common-size % (Previous Year)</t>
  </si>
  <si>
    <t>Common-size % (Current Year)</t>
  </si>
  <si>
    <t>HUL - Common- Size Balance Sheet</t>
  </si>
  <si>
    <t>HUL - Comparative Balance Sheet</t>
  </si>
  <si>
    <t>ITC- Comparative Balance Sheet</t>
  </si>
  <si>
    <t>ITC - Common- Size Balance Sheet</t>
  </si>
  <si>
    <t>Employees Stock Options</t>
  </si>
  <si>
    <t>Long Term Borrowings</t>
  </si>
  <si>
    <t>Short Term Borrowings</t>
  </si>
  <si>
    <t>Intangible Assets Under Development</t>
  </si>
  <si>
    <t>Other Assets</t>
  </si>
  <si>
    <t>HUL vs ITC – Comparative Insights</t>
  </si>
  <si>
    <t>1. Capital Structure:</t>
  </si>
  <si>
    <t>HUL has a higher proportion of reserves and surplus compared to ITC, indicating stronger retained earnings and lower dependence on external financing.</t>
  </si>
  <si>
    <t>2. Current Liabilities:</t>
  </si>
  <si>
    <t>ITC shows a relatively higher proportion of current liabilities compared to HUL, suggesting greater short-term obligations in its operating structure.</t>
  </si>
  <si>
    <t>3. Asset Composition:</t>
  </si>
  <si>
    <t>Both companies have a significant portion of their assets invested in non-current assets; however, ITC appears to be more asset-intensive compared to HUL</t>
  </si>
  <si>
    <t>4. Financial Flexibility:</t>
  </si>
  <si>
    <t>HUL’s stronger equity base provides better financial flexibility, while ITC’s structure reflects a relatively higher reliance on operational liabilities.</t>
  </si>
  <si>
    <t>5. Overall Financial Position:</t>
  </si>
  <si>
    <t>Overall, HUL demonstrates a more conservative and stable financial position, whereas ITC reflects a comparatively more diversified but liability-heavy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</si>
</sst>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9A3A-1266-4E87-9035-E9DB3C6C20E0}">
  <dimension ref="A1:H39"/>
  <sheetViews>
    <sheetView workbookViewId="0">
      <selection activeCell="H5" sqref="H5"/>
    </sheetView>
  </sheetViews>
  <sheetFormatPr defaultRowHeight="14.4" x14ac:dyDescent="0.3"/>
  <cols>
    <col min="5" max="5" width="18.88671875" customWidth="1"/>
    <col min="6" max="6" width="18.6640625" customWidth="1"/>
    <col min="7" max="7" width="21.21875" customWidth="1"/>
  </cols>
  <sheetData>
    <row r="1" spans="1:8" ht="21" x14ac:dyDescent="0.4">
      <c r="A1" s="10" t="s">
        <v>45</v>
      </c>
      <c r="B1" s="10"/>
      <c r="C1" s="10"/>
      <c r="D1" s="10"/>
      <c r="E1" s="10"/>
      <c r="F1" s="10"/>
      <c r="G1" s="10"/>
      <c r="H1" s="10"/>
    </row>
    <row r="2" spans="1:8" ht="28.8" x14ac:dyDescent="0.3">
      <c r="A2" s="12" t="s">
        <v>0</v>
      </c>
      <c r="B2" s="12"/>
      <c r="C2" s="12"/>
      <c r="D2" s="12"/>
      <c r="E2" s="6" t="s">
        <v>38</v>
      </c>
      <c r="F2" s="6" t="s">
        <v>39</v>
      </c>
      <c r="G2" s="6" t="s">
        <v>40</v>
      </c>
      <c r="H2" s="3" t="s">
        <v>41</v>
      </c>
    </row>
    <row r="3" spans="1:8" x14ac:dyDescent="0.3">
      <c r="A3" s="9" t="s">
        <v>1</v>
      </c>
      <c r="B3" s="9"/>
      <c r="C3" s="9"/>
      <c r="D3" s="9"/>
      <c r="E3" s="2"/>
      <c r="F3" s="2"/>
      <c r="G3" s="2"/>
      <c r="H3" s="2"/>
    </row>
    <row r="4" spans="1:8" x14ac:dyDescent="0.3">
      <c r="A4" s="9" t="s">
        <v>2</v>
      </c>
      <c r="B4" s="9"/>
      <c r="C4" s="9"/>
      <c r="D4" s="9"/>
      <c r="E4" s="2"/>
      <c r="F4" s="2"/>
      <c r="G4" s="2"/>
      <c r="H4" s="2"/>
    </row>
    <row r="5" spans="1:8" x14ac:dyDescent="0.3">
      <c r="A5" s="11" t="s">
        <v>3</v>
      </c>
      <c r="B5" s="11"/>
      <c r="C5" s="11"/>
      <c r="D5" s="11"/>
      <c r="E5" s="2">
        <v>235</v>
      </c>
      <c r="F5" s="2">
        <v>235</v>
      </c>
      <c r="G5" s="2">
        <f>F5-E5</f>
        <v>0</v>
      </c>
      <c r="H5" s="2">
        <f>G5/E5*100</f>
        <v>0</v>
      </c>
    </row>
    <row r="6" spans="1:8" x14ac:dyDescent="0.3">
      <c r="A6" s="9" t="s">
        <v>4</v>
      </c>
      <c r="B6" s="9"/>
      <c r="C6" s="9"/>
      <c r="D6" s="9"/>
      <c r="E6" s="2">
        <v>235</v>
      </c>
      <c r="F6" s="2">
        <v>235</v>
      </c>
      <c r="G6" s="2">
        <f t="shared" ref="G6:G39" si="0">F6-E6</f>
        <v>0</v>
      </c>
      <c r="H6" s="2">
        <f t="shared" ref="H6:H39" si="1">G6/E6*100</f>
        <v>0</v>
      </c>
    </row>
    <row r="7" spans="1:8" x14ac:dyDescent="0.3">
      <c r="A7" s="11" t="s">
        <v>5</v>
      </c>
      <c r="B7" s="11"/>
      <c r="C7" s="11"/>
      <c r="D7" s="11"/>
      <c r="E7" s="2">
        <v>50783</v>
      </c>
      <c r="F7" s="2">
        <v>48918</v>
      </c>
      <c r="G7" s="2">
        <f t="shared" si="0"/>
        <v>-1865</v>
      </c>
      <c r="H7" s="2">
        <f t="shared" si="1"/>
        <v>-3.6724888250004923</v>
      </c>
    </row>
    <row r="8" spans="1:8" x14ac:dyDescent="0.3">
      <c r="A8" s="11" t="s">
        <v>6</v>
      </c>
      <c r="B8" s="11"/>
      <c r="C8" s="11"/>
      <c r="D8" s="11"/>
      <c r="E8" s="2">
        <v>50783</v>
      </c>
      <c r="F8" s="2">
        <v>48918</v>
      </c>
      <c r="G8" s="2">
        <f t="shared" si="0"/>
        <v>-1865</v>
      </c>
      <c r="H8" s="2">
        <f t="shared" si="1"/>
        <v>-3.6724888250004923</v>
      </c>
    </row>
    <row r="9" spans="1:8" x14ac:dyDescent="0.3">
      <c r="A9" s="9" t="s">
        <v>7</v>
      </c>
      <c r="B9" s="9"/>
      <c r="C9" s="9"/>
      <c r="D9" s="9"/>
      <c r="E9" s="2">
        <v>50973</v>
      </c>
      <c r="F9" s="2">
        <v>49153</v>
      </c>
      <c r="G9" s="2">
        <f t="shared" si="0"/>
        <v>-1820</v>
      </c>
      <c r="H9" s="2">
        <f t="shared" si="1"/>
        <v>-3.5705177250701352</v>
      </c>
    </row>
    <row r="10" spans="1:8" x14ac:dyDescent="0.3">
      <c r="A10" s="9" t="s">
        <v>8</v>
      </c>
      <c r="B10" s="9"/>
      <c r="C10" s="9"/>
      <c r="D10" s="9"/>
      <c r="E10" s="2"/>
      <c r="F10" s="2"/>
      <c r="G10" s="2"/>
      <c r="H10" s="2"/>
    </row>
    <row r="11" spans="1:8" x14ac:dyDescent="0.3">
      <c r="A11" s="11" t="s">
        <v>9</v>
      </c>
      <c r="B11" s="11"/>
      <c r="C11" s="11"/>
      <c r="D11" s="11"/>
      <c r="E11" s="2">
        <v>6454</v>
      </c>
      <c r="F11" s="2">
        <v>6583</v>
      </c>
      <c r="G11" s="2">
        <f t="shared" si="0"/>
        <v>129</v>
      </c>
      <c r="H11" s="2">
        <f t="shared" si="1"/>
        <v>1.9987604586303067</v>
      </c>
    </row>
    <row r="12" spans="1:8" x14ac:dyDescent="0.3">
      <c r="A12" s="11" t="s">
        <v>10</v>
      </c>
      <c r="B12" s="11"/>
      <c r="C12" s="11"/>
      <c r="D12" s="11"/>
      <c r="E12" s="2">
        <v>5695</v>
      </c>
      <c r="F12" s="2">
        <v>5396</v>
      </c>
      <c r="G12" s="2">
        <f t="shared" si="0"/>
        <v>-299</v>
      </c>
      <c r="H12" s="2">
        <f t="shared" si="1"/>
        <v>-5.2502194907813875</v>
      </c>
    </row>
    <row r="13" spans="1:8" x14ac:dyDescent="0.3">
      <c r="A13" s="11" t="s">
        <v>11</v>
      </c>
      <c r="B13" s="11"/>
      <c r="C13" s="11"/>
      <c r="D13" s="11"/>
      <c r="E13" s="2">
        <v>1551</v>
      </c>
      <c r="F13" s="2">
        <v>1509</v>
      </c>
      <c r="G13" s="2">
        <f t="shared" si="0"/>
        <v>-42</v>
      </c>
      <c r="H13" s="2">
        <f t="shared" si="1"/>
        <v>-2.7079303675048356</v>
      </c>
    </row>
    <row r="14" spans="1:8" x14ac:dyDescent="0.3">
      <c r="A14" s="11" t="s">
        <v>12</v>
      </c>
      <c r="B14" s="11"/>
      <c r="C14" s="11"/>
      <c r="D14" s="11"/>
      <c r="E14" s="2">
        <v>13700</v>
      </c>
      <c r="F14" s="2">
        <v>13488</v>
      </c>
      <c r="G14" s="2">
        <f t="shared" si="0"/>
        <v>-212</v>
      </c>
      <c r="H14" s="2">
        <f t="shared" si="1"/>
        <v>-1.5474452554744527</v>
      </c>
    </row>
    <row r="15" spans="1:8" x14ac:dyDescent="0.3">
      <c r="A15" s="9" t="s">
        <v>13</v>
      </c>
      <c r="B15" s="9"/>
      <c r="C15" s="9"/>
      <c r="D15" s="9"/>
      <c r="E15" s="2"/>
      <c r="F15" s="2"/>
      <c r="G15" s="2"/>
      <c r="H15" s="2"/>
    </row>
    <row r="16" spans="1:8" x14ac:dyDescent="0.3">
      <c r="A16" s="11" t="s">
        <v>14</v>
      </c>
      <c r="B16" s="11"/>
      <c r="C16" s="11"/>
      <c r="D16" s="11"/>
      <c r="E16" s="2">
        <v>10148</v>
      </c>
      <c r="F16" s="2">
        <v>10998</v>
      </c>
      <c r="G16" s="2">
        <f t="shared" si="0"/>
        <v>850</v>
      </c>
      <c r="H16" s="2">
        <f t="shared" si="1"/>
        <v>8.3760346866377606</v>
      </c>
    </row>
    <row r="17" spans="1:8" x14ac:dyDescent="0.3">
      <c r="A17" s="11" t="s">
        <v>15</v>
      </c>
      <c r="B17" s="11"/>
      <c r="C17" s="11"/>
      <c r="D17" s="11"/>
      <c r="E17" s="2">
        <v>1926</v>
      </c>
      <c r="F17" s="2">
        <v>4043</v>
      </c>
      <c r="G17" s="2">
        <f t="shared" si="0"/>
        <v>2117</v>
      </c>
      <c r="H17" s="2">
        <f t="shared" si="1"/>
        <v>109.91692627206646</v>
      </c>
    </row>
    <row r="18" spans="1:8" x14ac:dyDescent="0.3">
      <c r="A18" s="11" t="s">
        <v>16</v>
      </c>
      <c r="B18" s="11"/>
      <c r="C18" s="11"/>
      <c r="D18" s="11"/>
      <c r="E18" s="2">
        <v>329</v>
      </c>
      <c r="F18" s="2">
        <v>661</v>
      </c>
      <c r="G18" s="2">
        <f t="shared" si="0"/>
        <v>332</v>
      </c>
      <c r="H18" s="2">
        <f t="shared" si="1"/>
        <v>100.91185410334347</v>
      </c>
    </row>
    <row r="19" spans="1:8" x14ac:dyDescent="0.3">
      <c r="A19" s="11" t="s">
        <v>17</v>
      </c>
      <c r="B19" s="11"/>
      <c r="C19" s="11"/>
      <c r="D19" s="11"/>
      <c r="E19" s="2">
        <v>12403</v>
      </c>
      <c r="F19" s="2">
        <v>15672</v>
      </c>
      <c r="G19" s="2">
        <f t="shared" si="0"/>
        <v>3269</v>
      </c>
      <c r="H19" s="2">
        <f t="shared" si="1"/>
        <v>26.356526646779006</v>
      </c>
    </row>
    <row r="20" spans="1:8" x14ac:dyDescent="0.3">
      <c r="A20" s="9" t="s">
        <v>18</v>
      </c>
      <c r="B20" s="9"/>
      <c r="C20" s="9"/>
      <c r="D20" s="9"/>
      <c r="E20" s="2">
        <v>77076</v>
      </c>
      <c r="F20" s="2">
        <v>78313</v>
      </c>
      <c r="G20" s="2">
        <f t="shared" si="0"/>
        <v>1237</v>
      </c>
      <c r="H20" s="2">
        <f t="shared" si="1"/>
        <v>1.6049094400332138</v>
      </c>
    </row>
    <row r="21" spans="1:8" x14ac:dyDescent="0.3">
      <c r="A21" s="9" t="s">
        <v>19</v>
      </c>
      <c r="B21" s="9"/>
      <c r="C21" s="9"/>
      <c r="D21" s="9"/>
      <c r="E21" s="2"/>
      <c r="F21" s="2"/>
      <c r="G21" s="2"/>
      <c r="H21" s="2"/>
    </row>
    <row r="22" spans="1:8" x14ac:dyDescent="0.3">
      <c r="A22" s="9" t="s">
        <v>20</v>
      </c>
      <c r="B22" s="9"/>
      <c r="C22" s="9"/>
      <c r="D22" s="9"/>
      <c r="E22" s="2"/>
      <c r="F22" s="2"/>
      <c r="G22" s="2"/>
      <c r="H22" s="2"/>
    </row>
    <row r="23" spans="1:8" x14ac:dyDescent="0.3">
      <c r="A23" s="11" t="s">
        <v>21</v>
      </c>
      <c r="B23" s="11"/>
      <c r="C23" s="11"/>
      <c r="D23" s="11"/>
      <c r="E23" s="2">
        <v>7178</v>
      </c>
      <c r="F23" s="2">
        <v>7710</v>
      </c>
      <c r="G23" s="2">
        <f t="shared" si="0"/>
        <v>532</v>
      </c>
      <c r="H23" s="2">
        <f t="shared" si="1"/>
        <v>7.4115352465867925</v>
      </c>
    </row>
    <row r="24" spans="1:8" x14ac:dyDescent="0.3">
      <c r="A24" s="11" t="s">
        <v>22</v>
      </c>
      <c r="B24" s="11"/>
      <c r="C24" s="11"/>
      <c r="D24" s="11"/>
      <c r="E24" s="2">
        <v>45201</v>
      </c>
      <c r="F24" s="2">
        <v>45197</v>
      </c>
      <c r="G24" s="2">
        <f t="shared" si="0"/>
        <v>-4</v>
      </c>
      <c r="H24" s="2">
        <f t="shared" si="1"/>
        <v>-8.8493617397845184E-3</v>
      </c>
    </row>
    <row r="25" spans="1:8" x14ac:dyDescent="0.3">
      <c r="A25" s="11" t="s">
        <v>23</v>
      </c>
      <c r="B25" s="11"/>
      <c r="C25" s="11"/>
      <c r="D25" s="11"/>
      <c r="E25" s="2">
        <v>915</v>
      </c>
      <c r="F25" s="2">
        <v>956</v>
      </c>
      <c r="G25" s="2">
        <f t="shared" si="0"/>
        <v>41</v>
      </c>
      <c r="H25" s="2">
        <f t="shared" si="1"/>
        <v>4.4808743169398912</v>
      </c>
    </row>
    <row r="26" spans="1:8" x14ac:dyDescent="0.3">
      <c r="A26" s="11" t="s">
        <v>24</v>
      </c>
      <c r="B26" s="11"/>
      <c r="C26" s="11"/>
      <c r="D26" s="11"/>
      <c r="E26" s="2">
        <v>53294</v>
      </c>
      <c r="F26" s="2">
        <v>53863</v>
      </c>
      <c r="G26" s="2">
        <f t="shared" si="0"/>
        <v>569</v>
      </c>
      <c r="H26" s="2">
        <f t="shared" si="1"/>
        <v>1.0676624010207529</v>
      </c>
    </row>
    <row r="27" spans="1:8" x14ac:dyDescent="0.3">
      <c r="A27" s="11" t="s">
        <v>25</v>
      </c>
      <c r="B27" s="11"/>
      <c r="C27" s="11"/>
      <c r="D27" s="11"/>
      <c r="E27" s="2">
        <v>983</v>
      </c>
      <c r="F27" s="2">
        <v>988</v>
      </c>
      <c r="G27" s="2">
        <f t="shared" si="0"/>
        <v>5</v>
      </c>
      <c r="H27" s="2">
        <f t="shared" si="1"/>
        <v>0.50864699898270604</v>
      </c>
    </row>
    <row r="28" spans="1:8" x14ac:dyDescent="0.3">
      <c r="A28" s="11" t="s">
        <v>26</v>
      </c>
      <c r="B28" s="11"/>
      <c r="C28" s="11"/>
      <c r="D28" s="11"/>
      <c r="E28" s="2">
        <v>392</v>
      </c>
      <c r="F28" s="2">
        <v>332</v>
      </c>
      <c r="G28" s="2">
        <f t="shared" si="0"/>
        <v>-60</v>
      </c>
      <c r="H28" s="2">
        <f t="shared" si="1"/>
        <v>-15.306122448979592</v>
      </c>
    </row>
    <row r="29" spans="1:8" x14ac:dyDescent="0.3">
      <c r="A29" s="11" t="s">
        <v>27</v>
      </c>
      <c r="B29" s="11"/>
      <c r="C29" s="11"/>
      <c r="D29" s="11"/>
      <c r="E29" s="2">
        <v>2111</v>
      </c>
      <c r="F29" s="2">
        <v>2231</v>
      </c>
      <c r="G29" s="2">
        <f t="shared" si="0"/>
        <v>120</v>
      </c>
      <c r="H29" s="2">
        <f t="shared" si="1"/>
        <v>5.684509711037423</v>
      </c>
    </row>
    <row r="30" spans="1:8" x14ac:dyDescent="0.3">
      <c r="A30" s="9" t="s">
        <v>28</v>
      </c>
      <c r="B30" s="9"/>
      <c r="C30" s="9"/>
      <c r="D30" s="9"/>
      <c r="E30" s="2">
        <v>56780</v>
      </c>
      <c r="F30" s="2">
        <v>57414</v>
      </c>
      <c r="G30" s="2">
        <f t="shared" si="0"/>
        <v>634</v>
      </c>
      <c r="H30" s="2">
        <f t="shared" si="1"/>
        <v>1.116590348714336</v>
      </c>
    </row>
    <row r="31" spans="1:8" x14ac:dyDescent="0.3">
      <c r="A31" s="9" t="s">
        <v>29</v>
      </c>
      <c r="B31" s="9"/>
      <c r="C31" s="9"/>
      <c r="D31" s="9"/>
      <c r="E31" s="2"/>
      <c r="F31" s="2"/>
      <c r="G31" s="2"/>
      <c r="H31" s="2"/>
    </row>
    <row r="32" spans="1:8" x14ac:dyDescent="0.3">
      <c r="A32" s="11" t="s">
        <v>30</v>
      </c>
      <c r="B32" s="11"/>
      <c r="C32" s="11"/>
      <c r="D32" s="11"/>
      <c r="E32" s="2">
        <v>4510</v>
      </c>
      <c r="F32" s="2">
        <v>3614</v>
      </c>
      <c r="G32" s="2">
        <f t="shared" si="0"/>
        <v>-896</v>
      </c>
      <c r="H32" s="2">
        <f t="shared" si="1"/>
        <v>-19.866962305986696</v>
      </c>
    </row>
    <row r="33" spans="1:8" x14ac:dyDescent="0.3">
      <c r="A33" s="11" t="s">
        <v>31</v>
      </c>
      <c r="B33" s="11"/>
      <c r="C33" s="11"/>
      <c r="D33" s="11"/>
      <c r="E33" s="2">
        <v>3812</v>
      </c>
      <c r="F33" s="2">
        <v>4161</v>
      </c>
      <c r="G33" s="2">
        <f t="shared" si="0"/>
        <v>349</v>
      </c>
      <c r="H33" s="2">
        <f t="shared" si="1"/>
        <v>9.1552990556138507</v>
      </c>
    </row>
    <row r="34" spans="1:8" x14ac:dyDescent="0.3">
      <c r="A34" s="11" t="s">
        <v>32</v>
      </c>
      <c r="B34" s="11"/>
      <c r="C34" s="11"/>
      <c r="D34" s="11"/>
      <c r="E34" s="2">
        <v>2690</v>
      </c>
      <c r="F34" s="2">
        <v>3450</v>
      </c>
      <c r="G34" s="2">
        <f t="shared" si="0"/>
        <v>760</v>
      </c>
      <c r="H34" s="2">
        <f t="shared" si="1"/>
        <v>28.25278810408922</v>
      </c>
    </row>
    <row r="35" spans="1:8" x14ac:dyDescent="0.3">
      <c r="A35" s="11" t="s">
        <v>33</v>
      </c>
      <c r="B35" s="11"/>
      <c r="C35" s="11"/>
      <c r="D35" s="11"/>
      <c r="E35" s="2">
        <v>7216</v>
      </c>
      <c r="F35" s="2">
        <v>7293</v>
      </c>
      <c r="G35" s="2">
        <f t="shared" si="0"/>
        <v>77</v>
      </c>
      <c r="H35" s="2">
        <f t="shared" si="1"/>
        <v>1.0670731707317074</v>
      </c>
    </row>
    <row r="36" spans="1:8" x14ac:dyDescent="0.3">
      <c r="A36" s="11" t="s">
        <v>34</v>
      </c>
      <c r="B36" s="11"/>
      <c r="C36" s="11"/>
      <c r="D36" s="11"/>
      <c r="E36" s="2">
        <v>37</v>
      </c>
      <c r="F36" s="2">
        <v>45</v>
      </c>
      <c r="G36" s="2">
        <f t="shared" si="0"/>
        <v>8</v>
      </c>
      <c r="H36" s="2">
        <f t="shared" si="1"/>
        <v>21.621621621621621</v>
      </c>
    </row>
    <row r="37" spans="1:8" x14ac:dyDescent="0.3">
      <c r="A37" s="11" t="s">
        <v>35</v>
      </c>
      <c r="B37" s="11"/>
      <c r="C37" s="11"/>
      <c r="D37" s="11"/>
      <c r="E37" s="2">
        <v>2031</v>
      </c>
      <c r="F37" s="2">
        <v>2336</v>
      </c>
      <c r="G37" s="2">
        <f t="shared" si="0"/>
        <v>305</v>
      </c>
      <c r="H37" s="2">
        <f t="shared" si="1"/>
        <v>15.017232890201871</v>
      </c>
    </row>
    <row r="38" spans="1:8" x14ac:dyDescent="0.3">
      <c r="A38" s="9" t="s">
        <v>36</v>
      </c>
      <c r="B38" s="9"/>
      <c r="C38" s="9"/>
      <c r="D38" s="9"/>
      <c r="E38" s="2">
        <v>20296</v>
      </c>
      <c r="F38" s="2">
        <v>20899</v>
      </c>
      <c r="G38" s="2">
        <f t="shared" si="0"/>
        <v>603</v>
      </c>
      <c r="H38" s="2">
        <f t="shared" si="1"/>
        <v>2.9710287741426882</v>
      </c>
    </row>
    <row r="39" spans="1:8" x14ac:dyDescent="0.3">
      <c r="A39" s="9" t="s">
        <v>37</v>
      </c>
      <c r="B39" s="9"/>
      <c r="C39" s="9"/>
      <c r="D39" s="9"/>
      <c r="E39" s="2">
        <v>77076</v>
      </c>
      <c r="F39" s="2">
        <v>78313</v>
      </c>
      <c r="G39" s="2">
        <f t="shared" si="0"/>
        <v>1237</v>
      </c>
      <c r="H39" s="2">
        <f t="shared" si="1"/>
        <v>1.6049094400332138</v>
      </c>
    </row>
  </sheetData>
  <mergeCells count="39">
    <mergeCell ref="A7:D7"/>
    <mergeCell ref="A2:D2"/>
    <mergeCell ref="A3:D3"/>
    <mergeCell ref="A4:D4"/>
    <mergeCell ref="A5:D5"/>
    <mergeCell ref="A6:D6"/>
    <mergeCell ref="A19:D19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21:D21"/>
    <mergeCell ref="A22:D22"/>
    <mergeCell ref="A23:D23"/>
    <mergeCell ref="A24:D24"/>
    <mergeCell ref="A25:D25"/>
    <mergeCell ref="A38:D38"/>
    <mergeCell ref="A39:D39"/>
    <mergeCell ref="A1:H1"/>
    <mergeCell ref="A32:D32"/>
    <mergeCell ref="A33:D33"/>
    <mergeCell ref="A34:D34"/>
    <mergeCell ref="A35:D35"/>
    <mergeCell ref="A36:D36"/>
    <mergeCell ref="A37:D37"/>
    <mergeCell ref="A26:D26"/>
    <mergeCell ref="A27:D27"/>
    <mergeCell ref="A28:D28"/>
    <mergeCell ref="A29:D29"/>
    <mergeCell ref="A30:D30"/>
    <mergeCell ref="A31:D31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1D13-73C7-40B1-BDE3-680319966E83}">
  <dimension ref="A1:H39"/>
  <sheetViews>
    <sheetView workbookViewId="0">
      <selection sqref="A1:H1"/>
    </sheetView>
  </sheetViews>
  <sheetFormatPr defaultRowHeight="14.4" x14ac:dyDescent="0.3"/>
  <cols>
    <col min="5" max="5" width="18.33203125" customWidth="1"/>
    <col min="6" max="6" width="20.21875" customWidth="1"/>
    <col min="7" max="7" width="28.44140625" style="2" customWidth="1"/>
    <col min="8" max="8" width="30.88671875" style="2" customWidth="1"/>
  </cols>
  <sheetData>
    <row r="1" spans="1:8" ht="21" x14ac:dyDescent="0.4">
      <c r="A1" s="10" t="s">
        <v>44</v>
      </c>
      <c r="B1" s="10"/>
      <c r="C1" s="10"/>
      <c r="D1" s="10"/>
      <c r="E1" s="10"/>
      <c r="F1" s="10"/>
      <c r="G1" s="10"/>
      <c r="H1" s="10"/>
    </row>
    <row r="2" spans="1:8" x14ac:dyDescent="0.3">
      <c r="A2" s="13" t="s">
        <v>0</v>
      </c>
      <c r="B2" s="13"/>
      <c r="C2" s="13"/>
      <c r="D2" s="13"/>
      <c r="E2" s="4" t="s">
        <v>38</v>
      </c>
      <c r="F2" s="4" t="s">
        <v>39</v>
      </c>
      <c r="G2" s="4" t="s">
        <v>42</v>
      </c>
      <c r="H2" s="4" t="s">
        <v>43</v>
      </c>
    </row>
    <row r="3" spans="1:8" x14ac:dyDescent="0.3">
      <c r="A3" s="9" t="s">
        <v>1</v>
      </c>
      <c r="B3" s="9"/>
      <c r="C3" s="9"/>
      <c r="D3" s="9"/>
      <c r="E3" s="2"/>
      <c r="F3" s="2"/>
    </row>
    <row r="4" spans="1:8" x14ac:dyDescent="0.3">
      <c r="A4" s="9" t="s">
        <v>2</v>
      </c>
      <c r="B4" s="9"/>
      <c r="C4" s="9"/>
      <c r="D4" s="9"/>
      <c r="E4" s="2"/>
      <c r="F4" s="2"/>
    </row>
    <row r="5" spans="1:8" x14ac:dyDescent="0.3">
      <c r="A5" s="11" t="s">
        <v>3</v>
      </c>
      <c r="B5" s="11"/>
      <c r="C5" s="11"/>
      <c r="D5" s="11"/>
      <c r="E5" s="2">
        <v>235</v>
      </c>
      <c r="F5" s="2">
        <v>235</v>
      </c>
      <c r="G5" s="2">
        <f>E5/$E$20*100</f>
        <v>0.30489387098448284</v>
      </c>
      <c r="H5" s="2">
        <f>F5/$F$20*100</f>
        <v>0.30007789255934519</v>
      </c>
    </row>
    <row r="6" spans="1:8" x14ac:dyDescent="0.3">
      <c r="A6" s="9" t="s">
        <v>4</v>
      </c>
      <c r="B6" s="9"/>
      <c r="C6" s="9"/>
      <c r="D6" s="9"/>
      <c r="E6" s="2">
        <v>235</v>
      </c>
      <c r="F6" s="2">
        <v>235</v>
      </c>
      <c r="G6" s="2">
        <f t="shared" ref="G6:G39" si="0">E6/$E$20*100</f>
        <v>0.30489387098448284</v>
      </c>
      <c r="H6" s="2">
        <f t="shared" ref="H6:H39" si="1">F6/$F$20*100</f>
        <v>0.30007789255934519</v>
      </c>
    </row>
    <row r="7" spans="1:8" x14ac:dyDescent="0.3">
      <c r="A7" s="11" t="s">
        <v>5</v>
      </c>
      <c r="B7" s="11"/>
      <c r="C7" s="11"/>
      <c r="D7" s="11"/>
      <c r="E7" s="2">
        <v>50783</v>
      </c>
      <c r="F7" s="2">
        <v>48918</v>
      </c>
      <c r="G7" s="2">
        <f t="shared" si="0"/>
        <v>65.886916809382939</v>
      </c>
      <c r="H7" s="2">
        <f t="shared" si="1"/>
        <v>62.464724886034247</v>
      </c>
    </row>
    <row r="8" spans="1:8" x14ac:dyDescent="0.3">
      <c r="A8" s="11" t="s">
        <v>6</v>
      </c>
      <c r="B8" s="11"/>
      <c r="C8" s="11"/>
      <c r="D8" s="11"/>
      <c r="E8" s="2">
        <v>50783</v>
      </c>
      <c r="F8" s="2">
        <v>48918</v>
      </c>
      <c r="G8" s="2">
        <f t="shared" si="0"/>
        <v>65.886916809382939</v>
      </c>
      <c r="H8" s="2">
        <f t="shared" si="1"/>
        <v>62.464724886034247</v>
      </c>
    </row>
    <row r="9" spans="1:8" x14ac:dyDescent="0.3">
      <c r="A9" s="9" t="s">
        <v>7</v>
      </c>
      <c r="B9" s="9"/>
      <c r="C9" s="9"/>
      <c r="D9" s="9"/>
      <c r="E9" s="2">
        <v>50973</v>
      </c>
      <c r="F9" s="2">
        <v>49153</v>
      </c>
      <c r="G9" s="2">
        <f t="shared" si="0"/>
        <v>66.13342674762572</v>
      </c>
      <c r="H9" s="2">
        <f t="shared" si="1"/>
        <v>62.764802778593584</v>
      </c>
    </row>
    <row r="10" spans="1:8" x14ac:dyDescent="0.3">
      <c r="A10" s="9" t="s">
        <v>8</v>
      </c>
      <c r="B10" s="9"/>
      <c r="C10" s="9"/>
      <c r="D10" s="9"/>
      <c r="E10" s="2"/>
      <c r="F10" s="2"/>
    </row>
    <row r="11" spans="1:8" x14ac:dyDescent="0.3">
      <c r="A11" s="11" t="s">
        <v>9</v>
      </c>
      <c r="B11" s="11"/>
      <c r="C11" s="11"/>
      <c r="D11" s="11"/>
      <c r="E11" s="2">
        <v>6454</v>
      </c>
      <c r="F11" s="2">
        <v>6583</v>
      </c>
      <c r="G11" s="2">
        <f t="shared" si="0"/>
        <v>8.3735533758887328</v>
      </c>
      <c r="H11" s="2">
        <f t="shared" si="1"/>
        <v>8.4060117732688049</v>
      </c>
    </row>
    <row r="12" spans="1:8" x14ac:dyDescent="0.3">
      <c r="A12" s="11" t="s">
        <v>10</v>
      </c>
      <c r="B12" s="11"/>
      <c r="C12" s="11"/>
      <c r="D12" s="11"/>
      <c r="E12" s="2">
        <v>5695</v>
      </c>
      <c r="F12" s="2">
        <v>5396</v>
      </c>
      <c r="G12" s="2">
        <f t="shared" si="0"/>
        <v>7.3888110436452337</v>
      </c>
      <c r="H12" s="2">
        <f t="shared" si="1"/>
        <v>6.8902991840435179</v>
      </c>
    </row>
    <row r="13" spans="1:8" x14ac:dyDescent="0.3">
      <c r="A13" s="11" t="s">
        <v>11</v>
      </c>
      <c r="B13" s="11"/>
      <c r="C13" s="11"/>
      <c r="D13" s="11"/>
      <c r="E13" s="2">
        <v>1551</v>
      </c>
      <c r="F13" s="2">
        <v>1509</v>
      </c>
      <c r="G13" s="2">
        <f t="shared" si="0"/>
        <v>2.012299548497587</v>
      </c>
      <c r="H13" s="2">
        <f t="shared" si="1"/>
        <v>1.9268831483917102</v>
      </c>
    </row>
    <row r="14" spans="1:8" x14ac:dyDescent="0.3">
      <c r="A14" s="11" t="s">
        <v>12</v>
      </c>
      <c r="B14" s="11"/>
      <c r="C14" s="11"/>
      <c r="D14" s="11"/>
      <c r="E14" s="2">
        <v>13700</v>
      </c>
      <c r="F14" s="2">
        <v>13488</v>
      </c>
      <c r="G14" s="2">
        <f t="shared" si="0"/>
        <v>17.774663968031554</v>
      </c>
      <c r="H14" s="2">
        <f t="shared" si="1"/>
        <v>17.223194105704035</v>
      </c>
    </row>
    <row r="15" spans="1:8" x14ac:dyDescent="0.3">
      <c r="A15" s="9" t="s">
        <v>13</v>
      </c>
      <c r="B15" s="9"/>
      <c r="C15" s="9"/>
      <c r="D15" s="9"/>
      <c r="E15" s="2"/>
      <c r="F15" s="2"/>
    </row>
    <row r="16" spans="1:8" x14ac:dyDescent="0.3">
      <c r="A16" s="11" t="s">
        <v>14</v>
      </c>
      <c r="B16" s="11"/>
      <c r="C16" s="11"/>
      <c r="D16" s="11"/>
      <c r="E16" s="2">
        <v>10148</v>
      </c>
      <c r="F16" s="2">
        <v>10998</v>
      </c>
      <c r="G16" s="2">
        <f t="shared" si="0"/>
        <v>13.166225543619284</v>
      </c>
      <c r="H16" s="2">
        <f t="shared" si="1"/>
        <v>14.043645371777355</v>
      </c>
    </row>
    <row r="17" spans="1:8" x14ac:dyDescent="0.3">
      <c r="A17" s="11" t="s">
        <v>15</v>
      </c>
      <c r="B17" s="11"/>
      <c r="C17" s="11"/>
      <c r="D17" s="11"/>
      <c r="E17" s="2">
        <v>1926</v>
      </c>
      <c r="F17" s="2">
        <v>4043</v>
      </c>
      <c r="G17" s="2">
        <f t="shared" si="0"/>
        <v>2.4988323213451658</v>
      </c>
      <c r="H17" s="2">
        <f t="shared" si="1"/>
        <v>5.1626166792231176</v>
      </c>
    </row>
    <row r="18" spans="1:8" x14ac:dyDescent="0.3">
      <c r="A18" s="11" t="s">
        <v>16</v>
      </c>
      <c r="B18" s="11"/>
      <c r="C18" s="11"/>
      <c r="D18" s="11"/>
      <c r="E18" s="2">
        <v>329</v>
      </c>
      <c r="F18" s="2">
        <v>661</v>
      </c>
      <c r="G18" s="2">
        <f t="shared" si="0"/>
        <v>0.42685141937827598</v>
      </c>
      <c r="H18" s="2">
        <f t="shared" si="1"/>
        <v>0.84404888077330709</v>
      </c>
    </row>
    <row r="19" spans="1:8" x14ac:dyDescent="0.3">
      <c r="A19" s="11" t="s">
        <v>17</v>
      </c>
      <c r="B19" s="11"/>
      <c r="C19" s="11"/>
      <c r="D19" s="11"/>
      <c r="E19" s="2">
        <v>12403</v>
      </c>
      <c r="F19" s="2">
        <v>15672</v>
      </c>
      <c r="G19" s="2">
        <f t="shared" si="0"/>
        <v>16.091909284342726</v>
      </c>
      <c r="H19" s="2">
        <f t="shared" si="1"/>
        <v>20.012003115702374</v>
      </c>
    </row>
    <row r="20" spans="1:8" x14ac:dyDescent="0.3">
      <c r="A20" s="9" t="s">
        <v>18</v>
      </c>
      <c r="B20" s="9"/>
      <c r="C20" s="9"/>
      <c r="D20" s="9"/>
      <c r="E20" s="2">
        <v>77076</v>
      </c>
      <c r="F20" s="2">
        <v>78313</v>
      </c>
      <c r="G20" s="2">
        <f t="shared" si="0"/>
        <v>100</v>
      </c>
      <c r="H20" s="2">
        <f t="shared" si="1"/>
        <v>100</v>
      </c>
    </row>
    <row r="21" spans="1:8" x14ac:dyDescent="0.3">
      <c r="A21" s="9" t="s">
        <v>19</v>
      </c>
      <c r="B21" s="9"/>
      <c r="C21" s="9"/>
      <c r="D21" s="9"/>
      <c r="E21" s="2"/>
      <c r="F21" s="2"/>
    </row>
    <row r="22" spans="1:8" x14ac:dyDescent="0.3">
      <c r="A22" s="9" t="s">
        <v>20</v>
      </c>
      <c r="B22" s="9"/>
      <c r="C22" s="9"/>
      <c r="D22" s="9"/>
      <c r="E22" s="2"/>
      <c r="F22" s="2"/>
    </row>
    <row r="23" spans="1:8" x14ac:dyDescent="0.3">
      <c r="A23" s="11" t="s">
        <v>21</v>
      </c>
      <c r="B23" s="11"/>
      <c r="C23" s="11"/>
      <c r="D23" s="11"/>
      <c r="E23" s="2">
        <v>7178</v>
      </c>
      <c r="F23" s="2">
        <v>7710</v>
      </c>
      <c r="G23" s="2">
        <f t="shared" si="0"/>
        <v>9.3128859826664598</v>
      </c>
      <c r="H23" s="2">
        <f t="shared" si="1"/>
        <v>9.8451087303512832</v>
      </c>
    </row>
    <row r="24" spans="1:8" x14ac:dyDescent="0.3">
      <c r="A24" s="11" t="s">
        <v>22</v>
      </c>
      <c r="B24" s="11"/>
      <c r="C24" s="11"/>
      <c r="D24" s="11"/>
      <c r="E24" s="2">
        <v>45201</v>
      </c>
      <c r="F24" s="2">
        <v>45197</v>
      </c>
      <c r="G24" s="2">
        <f t="shared" si="0"/>
        <v>58.64471430795578</v>
      </c>
      <c r="H24" s="2">
        <f t="shared" si="1"/>
        <v>57.713278765977549</v>
      </c>
    </row>
    <row r="25" spans="1:8" x14ac:dyDescent="0.3">
      <c r="A25" s="11" t="s">
        <v>23</v>
      </c>
      <c r="B25" s="11"/>
      <c r="C25" s="11"/>
      <c r="D25" s="11"/>
      <c r="E25" s="2">
        <v>915</v>
      </c>
      <c r="F25" s="2">
        <v>956</v>
      </c>
      <c r="G25" s="2">
        <f t="shared" si="0"/>
        <v>1.1871399657480928</v>
      </c>
      <c r="H25" s="2">
        <f t="shared" si="1"/>
        <v>1.2207424054754639</v>
      </c>
    </row>
    <row r="26" spans="1:8" x14ac:dyDescent="0.3">
      <c r="A26" s="11" t="s">
        <v>24</v>
      </c>
      <c r="B26" s="11"/>
      <c r="C26" s="11"/>
      <c r="D26" s="11"/>
      <c r="E26" s="2">
        <v>53294</v>
      </c>
      <c r="F26" s="2">
        <v>53863</v>
      </c>
      <c r="G26" s="2">
        <f t="shared" si="0"/>
        <v>69.144740256370341</v>
      </c>
      <c r="H26" s="2">
        <f t="shared" si="1"/>
        <v>68.779129901804311</v>
      </c>
    </row>
    <row r="27" spans="1:8" x14ac:dyDescent="0.3">
      <c r="A27" s="11" t="s">
        <v>25</v>
      </c>
      <c r="B27" s="11"/>
      <c r="C27" s="11"/>
      <c r="D27" s="11"/>
      <c r="E27" s="2">
        <v>983</v>
      </c>
      <c r="F27" s="2">
        <v>988</v>
      </c>
      <c r="G27" s="2">
        <f t="shared" si="0"/>
        <v>1.2753645752244538</v>
      </c>
      <c r="H27" s="2">
        <f t="shared" si="1"/>
        <v>1.26160407595163</v>
      </c>
    </row>
    <row r="28" spans="1:8" x14ac:dyDescent="0.3">
      <c r="A28" s="11" t="s">
        <v>26</v>
      </c>
      <c r="B28" s="11"/>
      <c r="C28" s="11"/>
      <c r="D28" s="11"/>
      <c r="E28" s="2">
        <v>392</v>
      </c>
      <c r="F28" s="2">
        <v>332</v>
      </c>
      <c r="G28" s="2">
        <f t="shared" si="0"/>
        <v>0.50858892521666921</v>
      </c>
      <c r="H28" s="2">
        <f t="shared" si="1"/>
        <v>0.42393983119022383</v>
      </c>
    </row>
    <row r="29" spans="1:8" x14ac:dyDescent="0.3">
      <c r="A29" s="11" t="s">
        <v>27</v>
      </c>
      <c r="B29" s="11"/>
      <c r="C29" s="11"/>
      <c r="D29" s="11"/>
      <c r="E29" s="2">
        <v>2111</v>
      </c>
      <c r="F29" s="2">
        <v>2231</v>
      </c>
      <c r="G29" s="2">
        <f t="shared" si="0"/>
        <v>2.7388551559499716</v>
      </c>
      <c r="H29" s="2">
        <f t="shared" si="1"/>
        <v>2.848824588510209</v>
      </c>
    </row>
    <row r="30" spans="1:8" x14ac:dyDescent="0.3">
      <c r="A30" s="9" t="s">
        <v>28</v>
      </c>
      <c r="B30" s="9"/>
      <c r="C30" s="9"/>
      <c r="D30" s="9"/>
      <c r="E30" s="2">
        <v>56780</v>
      </c>
      <c r="F30" s="2">
        <v>57414</v>
      </c>
      <c r="G30" s="2">
        <f t="shared" si="0"/>
        <v>73.667548912761433</v>
      </c>
      <c r="H30" s="2">
        <f t="shared" si="1"/>
        <v>73.313498397456357</v>
      </c>
    </row>
    <row r="31" spans="1:8" x14ac:dyDescent="0.3">
      <c r="A31" s="9" t="s">
        <v>29</v>
      </c>
      <c r="B31" s="9"/>
      <c r="C31" s="9"/>
      <c r="D31" s="9"/>
      <c r="E31" s="2"/>
      <c r="F31" s="2"/>
    </row>
    <row r="32" spans="1:8" x14ac:dyDescent="0.3">
      <c r="A32" s="11" t="s">
        <v>30</v>
      </c>
      <c r="B32" s="11"/>
      <c r="C32" s="11"/>
      <c r="D32" s="11"/>
      <c r="E32" s="2">
        <v>4510</v>
      </c>
      <c r="F32" s="2">
        <v>3614</v>
      </c>
      <c r="G32" s="2">
        <f t="shared" si="0"/>
        <v>5.851367481446883</v>
      </c>
      <c r="H32" s="2">
        <f t="shared" si="1"/>
        <v>4.614814909402015</v>
      </c>
    </row>
    <row r="33" spans="1:8" x14ac:dyDescent="0.3">
      <c r="A33" s="11" t="s">
        <v>31</v>
      </c>
      <c r="B33" s="11"/>
      <c r="C33" s="11"/>
      <c r="D33" s="11"/>
      <c r="E33" s="2">
        <v>3812</v>
      </c>
      <c r="F33" s="2">
        <v>4161</v>
      </c>
      <c r="G33" s="2">
        <f t="shared" si="0"/>
        <v>4.9457678135865901</v>
      </c>
      <c r="H33" s="2">
        <f t="shared" si="1"/>
        <v>5.3132940891039802</v>
      </c>
    </row>
    <row r="34" spans="1:8" x14ac:dyDescent="0.3">
      <c r="A34" s="11" t="s">
        <v>32</v>
      </c>
      <c r="B34" s="11"/>
      <c r="C34" s="11"/>
      <c r="D34" s="11"/>
      <c r="E34" s="2">
        <v>2690</v>
      </c>
      <c r="F34" s="2">
        <v>3450</v>
      </c>
      <c r="G34" s="2">
        <f t="shared" si="0"/>
        <v>3.4900617572266333</v>
      </c>
      <c r="H34" s="2">
        <f t="shared" si="1"/>
        <v>4.4053988482116635</v>
      </c>
    </row>
    <row r="35" spans="1:8" x14ac:dyDescent="0.3">
      <c r="A35" s="11" t="s">
        <v>33</v>
      </c>
      <c r="B35" s="11"/>
      <c r="C35" s="11"/>
      <c r="D35" s="11"/>
      <c r="E35" s="2">
        <v>7216</v>
      </c>
      <c r="F35" s="2">
        <v>7293</v>
      </c>
      <c r="G35" s="2">
        <f t="shared" si="0"/>
        <v>9.3621879703150146</v>
      </c>
      <c r="H35" s="2">
        <f t="shared" si="1"/>
        <v>9.3126300869587428</v>
      </c>
    </row>
    <row r="36" spans="1:8" x14ac:dyDescent="0.3">
      <c r="A36" s="11" t="s">
        <v>34</v>
      </c>
      <c r="B36" s="11"/>
      <c r="C36" s="11"/>
      <c r="D36" s="11"/>
      <c r="E36" s="2">
        <v>37</v>
      </c>
      <c r="F36" s="2">
        <v>45</v>
      </c>
      <c r="G36" s="2">
        <f t="shared" si="0"/>
        <v>4.8004566920961132E-2</v>
      </c>
      <c r="H36" s="2">
        <f t="shared" si="1"/>
        <v>5.7461724107108654E-2</v>
      </c>
    </row>
    <row r="37" spans="1:8" x14ac:dyDescent="0.3">
      <c r="A37" s="11" t="s">
        <v>35</v>
      </c>
      <c r="B37" s="11"/>
      <c r="C37" s="11"/>
      <c r="D37" s="11"/>
      <c r="E37" s="2">
        <v>2031</v>
      </c>
      <c r="F37" s="2">
        <v>2336</v>
      </c>
      <c r="G37" s="2">
        <f t="shared" si="0"/>
        <v>2.635061497742488</v>
      </c>
      <c r="H37" s="2">
        <f t="shared" si="1"/>
        <v>2.9829019447601293</v>
      </c>
    </row>
    <row r="38" spans="1:8" x14ac:dyDescent="0.3">
      <c r="A38" s="9" t="s">
        <v>36</v>
      </c>
      <c r="B38" s="9"/>
      <c r="C38" s="9"/>
      <c r="D38" s="9"/>
      <c r="E38" s="2">
        <v>20296</v>
      </c>
      <c r="F38" s="2">
        <v>20899</v>
      </c>
      <c r="G38" s="2">
        <f t="shared" si="0"/>
        <v>26.332451087238567</v>
      </c>
      <c r="H38" s="2">
        <f t="shared" si="1"/>
        <v>26.68650160254364</v>
      </c>
    </row>
    <row r="39" spans="1:8" x14ac:dyDescent="0.3">
      <c r="A39" s="9" t="s">
        <v>37</v>
      </c>
      <c r="B39" s="9"/>
      <c r="C39" s="9"/>
      <c r="D39" s="9"/>
      <c r="E39" s="2">
        <v>77076</v>
      </c>
      <c r="F39" s="2">
        <v>78313</v>
      </c>
      <c r="G39" s="2">
        <f t="shared" si="0"/>
        <v>100</v>
      </c>
      <c r="H39" s="2">
        <f t="shared" si="1"/>
        <v>100</v>
      </c>
    </row>
  </sheetData>
  <mergeCells count="39">
    <mergeCell ref="A7:D7"/>
    <mergeCell ref="A2:D2"/>
    <mergeCell ref="A3:D3"/>
    <mergeCell ref="A4:D4"/>
    <mergeCell ref="A5:D5"/>
    <mergeCell ref="A6:D6"/>
    <mergeCell ref="A19:D19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21:D21"/>
    <mergeCell ref="A22:D22"/>
    <mergeCell ref="A23:D23"/>
    <mergeCell ref="A24:D24"/>
    <mergeCell ref="A25:D25"/>
    <mergeCell ref="A38:D38"/>
    <mergeCell ref="A39:D39"/>
    <mergeCell ref="A1:H1"/>
    <mergeCell ref="A32:D32"/>
    <mergeCell ref="A33:D33"/>
    <mergeCell ref="A34:D34"/>
    <mergeCell ref="A35:D35"/>
    <mergeCell ref="A36:D36"/>
    <mergeCell ref="A37:D37"/>
    <mergeCell ref="A26:D26"/>
    <mergeCell ref="A27:D27"/>
    <mergeCell ref="A28:D28"/>
    <mergeCell ref="A29:D29"/>
    <mergeCell ref="A30:D30"/>
    <mergeCell ref="A31:D31"/>
    <mergeCell ref="A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6AD4-BD5B-415C-9BB1-14CC584AE160}">
  <dimension ref="A1:H44"/>
  <sheetViews>
    <sheetView workbookViewId="0">
      <selection activeCell="J13" sqref="J13"/>
    </sheetView>
  </sheetViews>
  <sheetFormatPr defaultRowHeight="14.4" x14ac:dyDescent="0.3"/>
  <cols>
    <col min="5" max="5" width="20.109375" style="1" customWidth="1"/>
    <col min="6" max="6" width="20.44140625" customWidth="1"/>
    <col min="7" max="7" width="20" style="1" customWidth="1"/>
    <col min="8" max="8" width="8.88671875" style="1" customWidth="1"/>
  </cols>
  <sheetData>
    <row r="1" spans="1:8" ht="21" x14ac:dyDescent="0.4">
      <c r="A1" s="10" t="s">
        <v>46</v>
      </c>
      <c r="B1" s="10"/>
      <c r="C1" s="10"/>
      <c r="D1" s="10"/>
      <c r="E1" s="10"/>
      <c r="F1" s="10"/>
      <c r="G1" s="10"/>
      <c r="H1" s="10"/>
    </row>
    <row r="2" spans="1:8" ht="28.8" x14ac:dyDescent="0.3">
      <c r="A2" s="14" t="s">
        <v>0</v>
      </c>
      <c r="B2" s="14"/>
      <c r="C2" s="14"/>
      <c r="D2" s="14"/>
      <c r="E2" s="7" t="s">
        <v>38</v>
      </c>
      <c r="F2" s="7" t="s">
        <v>39</v>
      </c>
      <c r="G2" s="7" t="s">
        <v>40</v>
      </c>
      <c r="H2" s="5" t="s">
        <v>41</v>
      </c>
    </row>
    <row r="3" spans="1:8" x14ac:dyDescent="0.3">
      <c r="A3" s="9" t="s">
        <v>1</v>
      </c>
      <c r="B3" s="9"/>
      <c r="C3" s="9"/>
      <c r="D3" s="9"/>
      <c r="F3" s="1"/>
    </row>
    <row r="4" spans="1:8" x14ac:dyDescent="0.3">
      <c r="A4" s="9" t="s">
        <v>2</v>
      </c>
      <c r="B4" s="9"/>
      <c r="C4" s="9"/>
      <c r="D4" s="9"/>
      <c r="F4" s="1"/>
    </row>
    <row r="5" spans="1:8" x14ac:dyDescent="0.3">
      <c r="A5" s="11" t="s">
        <v>3</v>
      </c>
      <c r="B5" s="11"/>
      <c r="C5" s="11"/>
      <c r="D5" s="11"/>
      <c r="E5" s="8">
        <v>1248.47</v>
      </c>
      <c r="F5" s="8">
        <v>1251.4100000000001</v>
      </c>
      <c r="G5" s="8">
        <f>F5-E5</f>
        <v>2.9400000000000546</v>
      </c>
      <c r="H5" s="2">
        <f>G5/E5*100</f>
        <v>0.23548823760283022</v>
      </c>
    </row>
    <row r="6" spans="1:8" x14ac:dyDescent="0.3">
      <c r="A6" s="9" t="s">
        <v>4</v>
      </c>
      <c r="B6" s="9"/>
      <c r="C6" s="9"/>
      <c r="D6" s="9"/>
      <c r="E6" s="8">
        <v>1248.47</v>
      </c>
      <c r="F6" s="8">
        <v>1251.4100000000001</v>
      </c>
      <c r="G6" s="8">
        <f t="shared" ref="G6:G44" si="0">F6-E6</f>
        <v>2.9400000000000546</v>
      </c>
      <c r="H6" s="2">
        <f t="shared" ref="H6:H44" si="1">G6/E6*100</f>
        <v>0.23548823760283022</v>
      </c>
    </row>
    <row r="7" spans="1:8" x14ac:dyDescent="0.3">
      <c r="A7" s="11" t="s">
        <v>5</v>
      </c>
      <c r="B7" s="11"/>
      <c r="C7" s="11"/>
      <c r="D7" s="11"/>
      <c r="E7" s="8">
        <v>70477.240000000005</v>
      </c>
      <c r="F7" s="8">
        <v>66648.73</v>
      </c>
      <c r="G7" s="8">
        <f t="shared" si="0"/>
        <v>-3828.5100000000093</v>
      </c>
      <c r="H7" s="2">
        <f t="shared" si="1"/>
        <v>-5.4322643735765039</v>
      </c>
    </row>
    <row r="8" spans="1:8" x14ac:dyDescent="0.3">
      <c r="A8" s="11" t="s">
        <v>6</v>
      </c>
      <c r="B8" s="11"/>
      <c r="C8" s="11"/>
      <c r="D8" s="11"/>
      <c r="E8" s="8">
        <v>70477.240000000005</v>
      </c>
      <c r="F8" s="8">
        <v>66648.73</v>
      </c>
      <c r="G8" s="8">
        <f t="shared" si="0"/>
        <v>-3828.5100000000093</v>
      </c>
      <c r="H8" s="2">
        <f t="shared" si="1"/>
        <v>-5.4322643735765039</v>
      </c>
    </row>
    <row r="9" spans="1:8" x14ac:dyDescent="0.3">
      <c r="A9" s="11" t="s">
        <v>48</v>
      </c>
      <c r="B9" s="11"/>
      <c r="C9" s="11"/>
      <c r="D9" s="11"/>
      <c r="E9" s="8">
        <v>507.59</v>
      </c>
      <c r="F9" s="8">
        <v>0</v>
      </c>
      <c r="G9" s="8">
        <f t="shared" si="0"/>
        <v>-507.59</v>
      </c>
      <c r="H9" s="2">
        <f t="shared" si="1"/>
        <v>-100</v>
      </c>
    </row>
    <row r="10" spans="1:8" x14ac:dyDescent="0.3">
      <c r="A10" s="9" t="s">
        <v>7</v>
      </c>
      <c r="B10" s="9"/>
      <c r="C10" s="9"/>
      <c r="D10" s="9"/>
      <c r="E10" s="8">
        <v>72233.3</v>
      </c>
      <c r="F10" s="8">
        <v>67900.14</v>
      </c>
      <c r="G10" s="8">
        <f t="shared" si="0"/>
        <v>-4333.1600000000035</v>
      </c>
      <c r="H10" s="2">
        <f t="shared" si="1"/>
        <v>-5.998839870253752</v>
      </c>
    </row>
    <row r="11" spans="1:8" x14ac:dyDescent="0.3">
      <c r="A11" s="9" t="s">
        <v>8</v>
      </c>
      <c r="B11" s="9"/>
      <c r="C11" s="9"/>
      <c r="D11" s="9"/>
      <c r="F11" s="1"/>
      <c r="G11" s="8"/>
      <c r="H11" s="2"/>
    </row>
    <row r="12" spans="1:8" x14ac:dyDescent="0.3">
      <c r="A12" s="11" t="s">
        <v>49</v>
      </c>
      <c r="B12" s="11"/>
      <c r="C12" s="11"/>
      <c r="D12" s="11"/>
      <c r="E12" s="8">
        <v>1.76</v>
      </c>
      <c r="F12" s="8">
        <v>0</v>
      </c>
      <c r="G12" s="8">
        <f t="shared" si="0"/>
        <v>-1.76</v>
      </c>
      <c r="H12" s="2">
        <f t="shared" si="1"/>
        <v>-100</v>
      </c>
    </row>
    <row r="13" spans="1:8" x14ac:dyDescent="0.3">
      <c r="A13" s="11" t="s">
        <v>9</v>
      </c>
      <c r="B13" s="11"/>
      <c r="C13" s="11"/>
      <c r="D13" s="11"/>
      <c r="E13" s="8">
        <v>2083.66</v>
      </c>
      <c r="F13" s="8">
        <v>2556.35</v>
      </c>
      <c r="G13" s="8">
        <f t="shared" si="0"/>
        <v>472.69000000000005</v>
      </c>
      <c r="H13" s="2">
        <f t="shared" si="1"/>
        <v>22.685562903736699</v>
      </c>
    </row>
    <row r="14" spans="1:8" x14ac:dyDescent="0.3">
      <c r="A14" s="11" t="s">
        <v>10</v>
      </c>
      <c r="B14" s="11"/>
      <c r="C14" s="11"/>
      <c r="D14" s="11"/>
      <c r="E14" s="8">
        <v>371.82</v>
      </c>
      <c r="F14" s="8">
        <v>205.34</v>
      </c>
      <c r="G14" s="8">
        <f t="shared" si="0"/>
        <v>-166.48</v>
      </c>
      <c r="H14" s="2">
        <f t="shared" si="1"/>
        <v>-44.774353181647029</v>
      </c>
    </row>
    <row r="15" spans="1:8" x14ac:dyDescent="0.3">
      <c r="A15" s="11" t="s">
        <v>11</v>
      </c>
      <c r="B15" s="11"/>
      <c r="C15" s="11"/>
      <c r="D15" s="11"/>
      <c r="E15" s="8">
        <v>221.45</v>
      </c>
      <c r="F15" s="8">
        <v>225.23</v>
      </c>
      <c r="G15" s="8">
        <f t="shared" si="0"/>
        <v>3.7800000000000011</v>
      </c>
      <c r="H15" s="2">
        <f t="shared" si="1"/>
        <v>1.7069315872657489</v>
      </c>
    </row>
    <row r="16" spans="1:8" x14ac:dyDescent="0.3">
      <c r="A16" s="9" t="s">
        <v>12</v>
      </c>
      <c r="B16" s="9"/>
      <c r="C16" s="9"/>
      <c r="D16" s="9"/>
      <c r="E16" s="8">
        <v>2678.69</v>
      </c>
      <c r="F16" s="8">
        <v>2986.92</v>
      </c>
      <c r="G16" s="8">
        <f t="shared" si="0"/>
        <v>308.23</v>
      </c>
      <c r="H16" s="2">
        <f t="shared" si="1"/>
        <v>11.506743968133677</v>
      </c>
    </row>
    <row r="17" spans="1:8" x14ac:dyDescent="0.3">
      <c r="A17" s="9" t="s">
        <v>13</v>
      </c>
      <c r="B17" s="9"/>
      <c r="C17" s="9"/>
      <c r="D17" s="9"/>
      <c r="F17" s="1"/>
      <c r="G17" s="8"/>
      <c r="H17" s="2"/>
    </row>
    <row r="18" spans="1:8" x14ac:dyDescent="0.3">
      <c r="A18" s="11" t="s">
        <v>50</v>
      </c>
      <c r="B18" s="11"/>
      <c r="C18" s="11"/>
      <c r="D18" s="11"/>
      <c r="E18" s="8">
        <v>1.52</v>
      </c>
      <c r="F18" s="8">
        <v>1.76</v>
      </c>
      <c r="G18" s="8">
        <f t="shared" si="0"/>
        <v>0.24</v>
      </c>
      <c r="H18" s="2">
        <f t="shared" si="1"/>
        <v>15.789473684210526</v>
      </c>
    </row>
    <row r="19" spans="1:8" x14ac:dyDescent="0.3">
      <c r="A19" s="11" t="s">
        <v>14</v>
      </c>
      <c r="B19" s="11"/>
      <c r="C19" s="11"/>
      <c r="D19" s="11"/>
      <c r="E19" s="8">
        <v>4489.55</v>
      </c>
      <c r="F19" s="8">
        <v>4489.82</v>
      </c>
      <c r="G19" s="8">
        <f t="shared" si="0"/>
        <v>0.26999999999952706</v>
      </c>
      <c r="H19" s="2">
        <f t="shared" si="1"/>
        <v>6.0139657649324997E-3</v>
      </c>
    </row>
    <row r="20" spans="1:8" x14ac:dyDescent="0.3">
      <c r="A20" s="11" t="s">
        <v>15</v>
      </c>
      <c r="B20" s="11"/>
      <c r="C20" s="11"/>
      <c r="D20" s="11"/>
      <c r="E20" s="8">
        <v>7855.82</v>
      </c>
      <c r="F20" s="8">
        <v>8584.0300000000007</v>
      </c>
      <c r="G20" s="8">
        <f t="shared" si="0"/>
        <v>728.21000000000095</v>
      </c>
      <c r="H20" s="2">
        <f t="shared" si="1"/>
        <v>9.2696879510986889</v>
      </c>
    </row>
    <row r="21" spans="1:8" x14ac:dyDescent="0.3">
      <c r="A21" s="11" t="s">
        <v>16</v>
      </c>
      <c r="B21" s="11"/>
      <c r="C21" s="11"/>
      <c r="D21" s="11"/>
      <c r="E21" s="8">
        <v>68.72</v>
      </c>
      <c r="F21" s="8">
        <v>46.53</v>
      </c>
      <c r="G21" s="8">
        <f t="shared" si="0"/>
        <v>-22.189999999999998</v>
      </c>
      <c r="H21" s="2">
        <f t="shared" si="1"/>
        <v>-32.290454016298021</v>
      </c>
    </row>
    <row r="22" spans="1:8" x14ac:dyDescent="0.3">
      <c r="A22" s="9" t="s">
        <v>17</v>
      </c>
      <c r="B22" s="9"/>
      <c r="C22" s="9"/>
      <c r="D22" s="9"/>
      <c r="E22" s="8">
        <v>12415.61</v>
      </c>
      <c r="F22" s="8">
        <v>13122.14</v>
      </c>
      <c r="G22" s="8">
        <f t="shared" si="0"/>
        <v>706.52999999999884</v>
      </c>
      <c r="H22" s="2">
        <f t="shared" si="1"/>
        <v>5.6906587755253168</v>
      </c>
    </row>
    <row r="23" spans="1:8" x14ac:dyDescent="0.3">
      <c r="A23" s="9" t="s">
        <v>18</v>
      </c>
      <c r="B23" s="9"/>
      <c r="C23" s="9"/>
      <c r="D23" s="9"/>
      <c r="E23" s="8">
        <v>87327.6</v>
      </c>
      <c r="F23" s="8">
        <v>84009.2</v>
      </c>
      <c r="G23" s="8">
        <f t="shared" si="0"/>
        <v>-3318.4000000000087</v>
      </c>
      <c r="H23" s="2">
        <f t="shared" si="1"/>
        <v>-3.7999441184688556</v>
      </c>
    </row>
    <row r="24" spans="1:8" x14ac:dyDescent="0.3">
      <c r="A24" s="9" t="s">
        <v>19</v>
      </c>
      <c r="B24" s="9"/>
      <c r="C24" s="9"/>
      <c r="D24" s="9"/>
      <c r="F24" s="1"/>
      <c r="G24" s="8"/>
      <c r="H24" s="2"/>
    </row>
    <row r="25" spans="1:8" x14ac:dyDescent="0.3">
      <c r="A25" s="9" t="s">
        <v>20</v>
      </c>
      <c r="B25" s="9"/>
      <c r="C25" s="9"/>
      <c r="D25" s="9"/>
      <c r="F25" s="1"/>
      <c r="G25" s="8"/>
      <c r="H25" s="2"/>
    </row>
    <row r="26" spans="1:8" x14ac:dyDescent="0.3">
      <c r="A26" s="11" t="s">
        <v>21</v>
      </c>
      <c r="B26" s="11"/>
      <c r="C26" s="11"/>
      <c r="D26" s="11"/>
      <c r="E26" s="8">
        <v>22737.19</v>
      </c>
      <c r="F26" s="8">
        <v>16987.349999999999</v>
      </c>
      <c r="G26" s="8">
        <f t="shared" si="0"/>
        <v>-5749.84</v>
      </c>
      <c r="H26" s="2">
        <f t="shared" si="1"/>
        <v>-25.288261214336515</v>
      </c>
    </row>
    <row r="27" spans="1:8" x14ac:dyDescent="0.3">
      <c r="A27" s="11" t="s">
        <v>22</v>
      </c>
      <c r="B27" s="11"/>
      <c r="C27" s="11"/>
      <c r="D27" s="11"/>
      <c r="E27" s="8">
        <v>2632.94</v>
      </c>
      <c r="F27" s="8">
        <v>2601.2399999999998</v>
      </c>
      <c r="G27" s="8">
        <f t="shared" si="0"/>
        <v>-31.700000000000273</v>
      </c>
      <c r="H27" s="2">
        <f t="shared" si="1"/>
        <v>-1.2039773029389305</v>
      </c>
    </row>
    <row r="28" spans="1:8" x14ac:dyDescent="0.3">
      <c r="A28" s="11" t="s">
        <v>23</v>
      </c>
      <c r="B28" s="11"/>
      <c r="C28" s="11"/>
      <c r="D28" s="11"/>
      <c r="E28" s="8">
        <v>1077.97</v>
      </c>
      <c r="F28" s="8">
        <v>1067.79</v>
      </c>
      <c r="G28" s="8">
        <f t="shared" si="0"/>
        <v>-10.180000000000064</v>
      </c>
      <c r="H28" s="2">
        <f t="shared" si="1"/>
        <v>-0.94436765401635148</v>
      </c>
    </row>
    <row r="29" spans="1:8" x14ac:dyDescent="0.3">
      <c r="A29" s="11" t="s">
        <v>51</v>
      </c>
      <c r="B29" s="11"/>
      <c r="C29" s="11"/>
      <c r="D29" s="11"/>
      <c r="E29" s="8">
        <v>9.07</v>
      </c>
      <c r="F29" s="8">
        <v>2.91</v>
      </c>
      <c r="G29" s="8">
        <f t="shared" si="0"/>
        <v>-6.16</v>
      </c>
      <c r="H29" s="2">
        <f t="shared" si="1"/>
        <v>-67.9162072767365</v>
      </c>
    </row>
    <row r="30" spans="1:8" x14ac:dyDescent="0.3">
      <c r="A30" s="11" t="s">
        <v>52</v>
      </c>
      <c r="B30" s="11"/>
      <c r="C30" s="11"/>
      <c r="D30" s="11"/>
      <c r="E30" s="8">
        <v>373.09</v>
      </c>
      <c r="F30" s="8">
        <v>399.89</v>
      </c>
      <c r="G30" s="8">
        <f t="shared" si="0"/>
        <v>26.800000000000011</v>
      </c>
      <c r="H30" s="2">
        <f t="shared" si="1"/>
        <v>7.1832533705004185</v>
      </c>
    </row>
    <row r="31" spans="1:8" x14ac:dyDescent="0.3">
      <c r="A31" s="9" t="s">
        <v>24</v>
      </c>
      <c r="B31" s="9"/>
      <c r="C31" s="9"/>
      <c r="D31" s="9"/>
      <c r="E31" s="8">
        <v>26830.26</v>
      </c>
      <c r="F31" s="8">
        <v>21059.18</v>
      </c>
      <c r="G31" s="8">
        <f t="shared" si="0"/>
        <v>-5771.0799999999981</v>
      </c>
      <c r="H31" s="2">
        <f t="shared" si="1"/>
        <v>-21.509594018097474</v>
      </c>
    </row>
    <row r="32" spans="1:8" x14ac:dyDescent="0.3">
      <c r="A32" s="11" t="s">
        <v>25</v>
      </c>
      <c r="B32" s="11"/>
      <c r="C32" s="11"/>
      <c r="D32" s="11"/>
      <c r="E32" s="8">
        <v>22821.94</v>
      </c>
      <c r="F32" s="8">
        <v>20701.169999999998</v>
      </c>
      <c r="G32" s="8">
        <f t="shared" si="0"/>
        <v>-2120.7700000000004</v>
      </c>
      <c r="H32" s="2">
        <f t="shared" si="1"/>
        <v>-9.2926806397703281</v>
      </c>
    </row>
    <row r="33" spans="1:8" x14ac:dyDescent="0.3">
      <c r="A33" s="11" t="s">
        <v>26</v>
      </c>
      <c r="B33" s="11"/>
      <c r="C33" s="11"/>
      <c r="D33" s="11"/>
      <c r="E33" s="8">
        <v>2.63</v>
      </c>
      <c r="F33" s="8">
        <v>6.28</v>
      </c>
      <c r="G33" s="8">
        <f t="shared" si="0"/>
        <v>3.6500000000000004</v>
      </c>
      <c r="H33" s="2">
        <f t="shared" si="1"/>
        <v>138.7832699619772</v>
      </c>
    </row>
    <row r="34" spans="1:8" x14ac:dyDescent="0.3">
      <c r="A34" s="11" t="s">
        <v>27</v>
      </c>
      <c r="B34" s="11"/>
      <c r="C34" s="11"/>
      <c r="D34" s="11"/>
      <c r="E34" s="8">
        <v>1602.1</v>
      </c>
      <c r="F34" s="8">
        <v>2486.63</v>
      </c>
      <c r="G34" s="8">
        <f t="shared" si="0"/>
        <v>884.5300000000002</v>
      </c>
      <c r="H34" s="2">
        <f t="shared" si="1"/>
        <v>55.210661007427767</v>
      </c>
    </row>
    <row r="35" spans="1:8" x14ac:dyDescent="0.3">
      <c r="A35" s="9" t="s">
        <v>28</v>
      </c>
      <c r="B35" s="9"/>
      <c r="C35" s="9"/>
      <c r="D35" s="9"/>
      <c r="E35" s="8">
        <v>51256.93</v>
      </c>
      <c r="F35" s="8">
        <v>44253.26</v>
      </c>
      <c r="G35" s="8">
        <f t="shared" si="0"/>
        <v>-7003.6699999999983</v>
      </c>
      <c r="H35" s="2">
        <f t="shared" si="1"/>
        <v>-13.66384994185176</v>
      </c>
    </row>
    <row r="36" spans="1:8" x14ac:dyDescent="0.3">
      <c r="A36" s="9" t="s">
        <v>29</v>
      </c>
      <c r="B36" s="9"/>
      <c r="C36" s="9"/>
      <c r="D36" s="9"/>
      <c r="F36" s="1"/>
      <c r="G36" s="8"/>
      <c r="H36" s="2"/>
    </row>
    <row r="37" spans="1:8" x14ac:dyDescent="0.3">
      <c r="A37" s="11" t="s">
        <v>30</v>
      </c>
      <c r="B37" s="11"/>
      <c r="C37" s="11"/>
      <c r="D37" s="11"/>
      <c r="E37" s="8">
        <v>11916.88</v>
      </c>
      <c r="F37" s="8">
        <v>15285.91</v>
      </c>
      <c r="G37" s="8">
        <f t="shared" si="0"/>
        <v>3369.0300000000007</v>
      </c>
      <c r="H37" s="2">
        <f t="shared" si="1"/>
        <v>28.271074308040369</v>
      </c>
    </row>
    <row r="38" spans="1:8" x14ac:dyDescent="0.3">
      <c r="A38" s="11" t="s">
        <v>31</v>
      </c>
      <c r="B38" s="11"/>
      <c r="C38" s="11"/>
      <c r="D38" s="11"/>
      <c r="E38" s="8">
        <v>12631.51</v>
      </c>
      <c r="F38" s="8">
        <v>15061.01</v>
      </c>
      <c r="G38" s="8">
        <f t="shared" si="0"/>
        <v>2429.5</v>
      </c>
      <c r="H38" s="2">
        <f t="shared" si="1"/>
        <v>19.233646650321297</v>
      </c>
    </row>
    <row r="39" spans="1:8" x14ac:dyDescent="0.3">
      <c r="A39" s="11" t="s">
        <v>32</v>
      </c>
      <c r="B39" s="11"/>
      <c r="C39" s="11"/>
      <c r="D39" s="11"/>
      <c r="E39" s="8">
        <v>3311.45</v>
      </c>
      <c r="F39" s="8">
        <v>3910.77</v>
      </c>
      <c r="G39" s="8">
        <f t="shared" si="0"/>
        <v>599.32000000000016</v>
      </c>
      <c r="H39" s="2">
        <f t="shared" si="1"/>
        <v>18.098416101707716</v>
      </c>
    </row>
    <row r="40" spans="1:8" x14ac:dyDescent="0.3">
      <c r="A40" s="11" t="s">
        <v>33</v>
      </c>
      <c r="B40" s="11"/>
      <c r="C40" s="11"/>
      <c r="D40" s="11"/>
      <c r="E40" s="8">
        <v>6217.69</v>
      </c>
      <c r="F40" s="8">
        <v>3184.38</v>
      </c>
      <c r="G40" s="8">
        <f t="shared" si="0"/>
        <v>-3033.3099999999995</v>
      </c>
      <c r="H40" s="2">
        <f t="shared" si="1"/>
        <v>-48.785159761905142</v>
      </c>
    </row>
    <row r="41" spans="1:8" x14ac:dyDescent="0.3">
      <c r="A41" s="11" t="s">
        <v>34</v>
      </c>
      <c r="B41" s="11"/>
      <c r="C41" s="11"/>
      <c r="D41" s="11"/>
      <c r="E41" s="8">
        <v>9.1</v>
      </c>
      <c r="F41" s="8">
        <v>8.9600000000000009</v>
      </c>
      <c r="G41" s="8">
        <f t="shared" si="0"/>
        <v>-0.13999999999999879</v>
      </c>
      <c r="H41" s="2">
        <f t="shared" si="1"/>
        <v>-1.5384615384615252</v>
      </c>
    </row>
    <row r="42" spans="1:8" x14ac:dyDescent="0.3">
      <c r="A42" s="11" t="s">
        <v>35</v>
      </c>
      <c r="B42" s="11"/>
      <c r="C42" s="11"/>
      <c r="D42" s="11"/>
      <c r="E42" s="8">
        <v>1984.04</v>
      </c>
      <c r="F42" s="8">
        <v>2304.91</v>
      </c>
      <c r="G42" s="8">
        <f t="shared" si="0"/>
        <v>320.86999999999989</v>
      </c>
      <c r="H42" s="2">
        <f t="shared" si="1"/>
        <v>16.17255700489909</v>
      </c>
    </row>
    <row r="43" spans="1:8" x14ac:dyDescent="0.3">
      <c r="A43" s="9" t="s">
        <v>36</v>
      </c>
      <c r="B43" s="9"/>
      <c r="C43" s="9"/>
      <c r="D43" s="9"/>
      <c r="E43" s="8">
        <v>36070.67</v>
      </c>
      <c r="F43" s="8">
        <v>39755.94</v>
      </c>
      <c r="G43" s="8">
        <f t="shared" si="0"/>
        <v>3685.2700000000041</v>
      </c>
      <c r="H43" s="2">
        <f t="shared" si="1"/>
        <v>10.216804955383429</v>
      </c>
    </row>
    <row r="44" spans="1:8" x14ac:dyDescent="0.3">
      <c r="A44" s="9" t="s">
        <v>37</v>
      </c>
      <c r="B44" s="9"/>
      <c r="C44" s="9"/>
      <c r="D44" s="9"/>
      <c r="E44" s="8">
        <v>87327.6</v>
      </c>
      <c r="F44" s="8">
        <v>84009.2</v>
      </c>
      <c r="G44" s="8">
        <f t="shared" si="0"/>
        <v>-3318.4000000000087</v>
      </c>
      <c r="H44" s="2">
        <f t="shared" si="1"/>
        <v>-3.7999441184688556</v>
      </c>
    </row>
  </sheetData>
  <mergeCells count="44">
    <mergeCell ref="A7:D7"/>
    <mergeCell ref="A2:D2"/>
    <mergeCell ref="A3:D3"/>
    <mergeCell ref="A4:D4"/>
    <mergeCell ref="A5:D5"/>
    <mergeCell ref="A6:D6"/>
    <mergeCell ref="A22:D22"/>
    <mergeCell ref="A8:D8"/>
    <mergeCell ref="A10:D10"/>
    <mergeCell ref="A11:D11"/>
    <mergeCell ref="A13:D13"/>
    <mergeCell ref="A14:D14"/>
    <mergeCell ref="A15:D15"/>
    <mergeCell ref="A16:D16"/>
    <mergeCell ref="A17:D17"/>
    <mergeCell ref="A19:D19"/>
    <mergeCell ref="A20:D20"/>
    <mergeCell ref="A21:D21"/>
    <mergeCell ref="A33:D33"/>
    <mergeCell ref="A34:D34"/>
    <mergeCell ref="A35:D35"/>
    <mergeCell ref="A36:D36"/>
    <mergeCell ref="A23:D23"/>
    <mergeCell ref="A24:D24"/>
    <mergeCell ref="A25:D25"/>
    <mergeCell ref="A26:D26"/>
    <mergeCell ref="A27:D27"/>
    <mergeCell ref="A28:D28"/>
    <mergeCell ref="A43:D43"/>
    <mergeCell ref="A44:D44"/>
    <mergeCell ref="A1:H1"/>
    <mergeCell ref="A9:D9"/>
    <mergeCell ref="A12:D12"/>
    <mergeCell ref="A18:D18"/>
    <mergeCell ref="A29:D29"/>
    <mergeCell ref="A30:D30"/>
    <mergeCell ref="A37:D37"/>
    <mergeCell ref="A38:D38"/>
    <mergeCell ref="A39:D39"/>
    <mergeCell ref="A40:D40"/>
    <mergeCell ref="A41:D41"/>
    <mergeCell ref="A42:D42"/>
    <mergeCell ref="A31:D31"/>
    <mergeCell ref="A32:D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7571-0E3D-458A-B815-F5E388283C1F}">
  <dimension ref="A1:H44"/>
  <sheetViews>
    <sheetView workbookViewId="0">
      <selection activeCell="L11" sqref="L11"/>
    </sheetView>
  </sheetViews>
  <sheetFormatPr defaultRowHeight="14.4" x14ac:dyDescent="0.3"/>
  <cols>
    <col min="5" max="5" width="20.6640625" style="1" customWidth="1"/>
    <col min="6" max="6" width="20.44140625" style="1" customWidth="1"/>
    <col min="7" max="7" width="28.6640625" style="2" customWidth="1"/>
    <col min="8" max="8" width="27.6640625" customWidth="1"/>
  </cols>
  <sheetData>
    <row r="1" spans="1:8" ht="21" x14ac:dyDescent="0.4">
      <c r="A1" s="10" t="s">
        <v>47</v>
      </c>
      <c r="B1" s="10"/>
      <c r="C1" s="10"/>
      <c r="D1" s="10"/>
      <c r="E1" s="10"/>
      <c r="F1" s="10"/>
      <c r="G1" s="10"/>
      <c r="H1" s="10"/>
    </row>
    <row r="2" spans="1:8" x14ac:dyDescent="0.3">
      <c r="A2" s="14" t="s">
        <v>0</v>
      </c>
      <c r="B2" s="14"/>
      <c r="C2" s="14"/>
      <c r="D2" s="14"/>
      <c r="E2" s="4" t="s">
        <v>38</v>
      </c>
      <c r="F2" s="4" t="s">
        <v>39</v>
      </c>
      <c r="G2" s="4" t="s">
        <v>42</v>
      </c>
      <c r="H2" s="4" t="s">
        <v>43</v>
      </c>
    </row>
    <row r="3" spans="1:8" x14ac:dyDescent="0.3">
      <c r="A3" s="9" t="s">
        <v>1</v>
      </c>
      <c r="B3" s="9"/>
      <c r="C3" s="9"/>
      <c r="D3" s="9"/>
    </row>
    <row r="4" spans="1:8" x14ac:dyDescent="0.3">
      <c r="A4" s="9" t="s">
        <v>2</v>
      </c>
      <c r="B4" s="9"/>
      <c r="C4" s="9"/>
      <c r="D4" s="9"/>
    </row>
    <row r="5" spans="1:8" x14ac:dyDescent="0.3">
      <c r="A5" s="11" t="s">
        <v>3</v>
      </c>
      <c r="B5" s="11"/>
      <c r="C5" s="11"/>
      <c r="D5" s="11"/>
      <c r="E5" s="8">
        <v>1248.47</v>
      </c>
      <c r="F5" s="8">
        <v>1251.4100000000001</v>
      </c>
      <c r="G5" s="2">
        <f>E5/$E$23*100</f>
        <v>1.4296396557331246</v>
      </c>
      <c r="H5" s="2">
        <f>F5/$F$23*100</f>
        <v>1.4896106616894342</v>
      </c>
    </row>
    <row r="6" spans="1:8" x14ac:dyDescent="0.3">
      <c r="A6" s="9" t="s">
        <v>4</v>
      </c>
      <c r="B6" s="9"/>
      <c r="C6" s="9"/>
      <c r="D6" s="9"/>
      <c r="E6" s="8">
        <v>1248.47</v>
      </c>
      <c r="F6" s="8">
        <v>1251.4100000000001</v>
      </c>
      <c r="G6" s="2">
        <f t="shared" ref="G6:G44" si="0">E6/$E$23*100</f>
        <v>1.4296396557331246</v>
      </c>
      <c r="H6" s="2">
        <f t="shared" ref="H6:H44" si="1">F6/$F$23*100</f>
        <v>1.4896106616894342</v>
      </c>
    </row>
    <row r="7" spans="1:8" x14ac:dyDescent="0.3">
      <c r="A7" s="11" t="s">
        <v>5</v>
      </c>
      <c r="B7" s="11"/>
      <c r="C7" s="11"/>
      <c r="D7" s="11"/>
      <c r="E7" s="8">
        <v>70477.240000000005</v>
      </c>
      <c r="F7" s="8">
        <v>66648.73</v>
      </c>
      <c r="G7" s="2">
        <f t="shared" si="0"/>
        <v>80.704427924275947</v>
      </c>
      <c r="H7" s="2">
        <f t="shared" si="1"/>
        <v>79.33503711498264</v>
      </c>
    </row>
    <row r="8" spans="1:8" x14ac:dyDescent="0.3">
      <c r="A8" s="11" t="s">
        <v>6</v>
      </c>
      <c r="B8" s="11"/>
      <c r="C8" s="11"/>
      <c r="D8" s="11"/>
      <c r="E8" s="8">
        <v>70477.240000000005</v>
      </c>
      <c r="F8" s="8">
        <v>66648.73</v>
      </c>
      <c r="G8" s="2">
        <f t="shared" si="0"/>
        <v>80.704427924275947</v>
      </c>
      <c r="H8" s="2">
        <f t="shared" si="1"/>
        <v>79.33503711498264</v>
      </c>
    </row>
    <row r="9" spans="1:8" x14ac:dyDescent="0.3">
      <c r="A9" s="11" t="s">
        <v>48</v>
      </c>
      <c r="B9" s="11"/>
      <c r="C9" s="11"/>
      <c r="D9" s="11"/>
      <c r="E9" s="8">
        <v>507.59</v>
      </c>
      <c r="F9" s="8">
        <v>0</v>
      </c>
      <c r="G9" s="2">
        <f t="shared" si="0"/>
        <v>0.58124808193514987</v>
      </c>
      <c r="H9" s="2">
        <f t="shared" si="1"/>
        <v>0</v>
      </c>
    </row>
    <row r="10" spans="1:8" x14ac:dyDescent="0.3">
      <c r="A10" s="9" t="s">
        <v>7</v>
      </c>
      <c r="B10" s="9"/>
      <c r="C10" s="9"/>
      <c r="D10" s="9"/>
      <c r="E10" s="8">
        <v>72233.3</v>
      </c>
      <c r="F10" s="8">
        <v>67900.14</v>
      </c>
      <c r="G10" s="2">
        <f t="shared" si="0"/>
        <v>82.715315661944217</v>
      </c>
      <c r="H10" s="2">
        <f t="shared" si="1"/>
        <v>80.82464777667208</v>
      </c>
    </row>
    <row r="11" spans="1:8" x14ac:dyDescent="0.3">
      <c r="A11" s="9" t="s">
        <v>8</v>
      </c>
      <c r="B11" s="9"/>
      <c r="C11" s="9"/>
      <c r="D11" s="9"/>
      <c r="H11" s="2"/>
    </row>
    <row r="12" spans="1:8" x14ac:dyDescent="0.3">
      <c r="A12" s="11" t="s">
        <v>49</v>
      </c>
      <c r="B12" s="11"/>
      <c r="C12" s="11"/>
      <c r="D12" s="11"/>
      <c r="E12" s="8">
        <v>1.76</v>
      </c>
      <c r="F12" s="8">
        <v>0</v>
      </c>
      <c r="G12" s="2">
        <f t="shared" si="0"/>
        <v>2.01539948424095E-3</v>
      </c>
      <c r="H12" s="2">
        <f t="shared" si="1"/>
        <v>0</v>
      </c>
    </row>
    <row r="13" spans="1:8" x14ac:dyDescent="0.3">
      <c r="A13" s="11" t="s">
        <v>9</v>
      </c>
      <c r="B13" s="11"/>
      <c r="C13" s="11"/>
      <c r="D13" s="11"/>
      <c r="E13" s="8">
        <v>2083.66</v>
      </c>
      <c r="F13" s="8">
        <v>2556.35</v>
      </c>
      <c r="G13" s="2">
        <f t="shared" si="0"/>
        <v>2.3860268689394872</v>
      </c>
      <c r="H13" s="2">
        <f t="shared" si="1"/>
        <v>3.0429405350842527</v>
      </c>
    </row>
    <row r="14" spans="1:8" x14ac:dyDescent="0.3">
      <c r="A14" s="11" t="s">
        <v>10</v>
      </c>
      <c r="B14" s="11"/>
      <c r="C14" s="11"/>
      <c r="D14" s="11"/>
      <c r="E14" s="8">
        <v>371.82</v>
      </c>
      <c r="F14" s="8">
        <v>205.34</v>
      </c>
      <c r="G14" s="2">
        <f t="shared" si="0"/>
        <v>0.42577604331276703</v>
      </c>
      <c r="H14" s="2">
        <f t="shared" si="1"/>
        <v>0.24442561052837072</v>
      </c>
    </row>
    <row r="15" spans="1:8" x14ac:dyDescent="0.3">
      <c r="A15" s="11" t="s">
        <v>11</v>
      </c>
      <c r="B15" s="11"/>
      <c r="C15" s="11"/>
      <c r="D15" s="11"/>
      <c r="E15" s="8">
        <v>221.45</v>
      </c>
      <c r="F15" s="8">
        <v>225.23</v>
      </c>
      <c r="G15" s="2">
        <f t="shared" si="0"/>
        <v>0.25358534987793091</v>
      </c>
      <c r="H15" s="2">
        <f t="shared" si="1"/>
        <v>0.26810158887359953</v>
      </c>
    </row>
    <row r="16" spans="1:8" x14ac:dyDescent="0.3">
      <c r="A16" s="9" t="s">
        <v>12</v>
      </c>
      <c r="B16" s="9"/>
      <c r="C16" s="9"/>
      <c r="D16" s="9"/>
      <c r="E16" s="8">
        <v>2678.69</v>
      </c>
      <c r="F16" s="8">
        <v>2986.92</v>
      </c>
      <c r="G16" s="2">
        <f t="shared" si="0"/>
        <v>3.0674036616144265</v>
      </c>
      <c r="H16" s="2">
        <f t="shared" si="1"/>
        <v>3.5554677344862231</v>
      </c>
    </row>
    <row r="17" spans="1:8" x14ac:dyDescent="0.3">
      <c r="A17" s="9" t="s">
        <v>13</v>
      </c>
      <c r="B17" s="9"/>
      <c r="C17" s="9"/>
      <c r="D17" s="9"/>
      <c r="G17" s="2">
        <f t="shared" si="0"/>
        <v>0</v>
      </c>
      <c r="H17" s="2">
        <f t="shared" si="1"/>
        <v>0</v>
      </c>
    </row>
    <row r="18" spans="1:8" x14ac:dyDescent="0.3">
      <c r="A18" s="11" t="s">
        <v>50</v>
      </c>
      <c r="B18" s="11"/>
      <c r="C18" s="11"/>
      <c r="D18" s="11"/>
      <c r="E18" s="8">
        <v>1.52</v>
      </c>
      <c r="F18" s="8">
        <v>1.76</v>
      </c>
      <c r="G18" s="2">
        <f t="shared" si="0"/>
        <v>1.7405722818444568E-3</v>
      </c>
      <c r="H18" s="2">
        <f t="shared" si="1"/>
        <v>2.0950086419106481E-3</v>
      </c>
    </row>
    <row r="19" spans="1:8" x14ac:dyDescent="0.3">
      <c r="A19" s="11" t="s">
        <v>14</v>
      </c>
      <c r="B19" s="11"/>
      <c r="C19" s="11"/>
      <c r="D19" s="11"/>
      <c r="E19" s="8">
        <v>4489.55</v>
      </c>
      <c r="F19" s="8">
        <v>4489.82</v>
      </c>
      <c r="G19" s="2">
        <f t="shared" si="0"/>
        <v>5.1410436104965669</v>
      </c>
      <c r="H19" s="2">
        <f t="shared" si="1"/>
        <v>5.3444384662632194</v>
      </c>
    </row>
    <row r="20" spans="1:8" x14ac:dyDescent="0.3">
      <c r="A20" s="11" t="s">
        <v>15</v>
      </c>
      <c r="B20" s="11"/>
      <c r="C20" s="11"/>
      <c r="D20" s="11"/>
      <c r="E20" s="8">
        <v>7855.82</v>
      </c>
      <c r="F20" s="8">
        <v>8584.0300000000007</v>
      </c>
      <c r="G20" s="2">
        <f t="shared" si="0"/>
        <v>8.9958043047100791</v>
      </c>
      <c r="H20" s="2">
        <f t="shared" si="1"/>
        <v>10.217964222966057</v>
      </c>
    </row>
    <row r="21" spans="1:8" x14ac:dyDescent="0.3">
      <c r="A21" s="11" t="s">
        <v>16</v>
      </c>
      <c r="B21" s="11"/>
      <c r="C21" s="11"/>
      <c r="D21" s="11"/>
      <c r="E21" s="8">
        <v>68.72</v>
      </c>
      <c r="F21" s="8">
        <v>46.53</v>
      </c>
      <c r="G21" s="2">
        <f t="shared" si="0"/>
        <v>7.8692188952862549E-2</v>
      </c>
      <c r="H21" s="2">
        <f t="shared" si="1"/>
        <v>5.5386790970512752E-2</v>
      </c>
    </row>
    <row r="22" spans="1:8" x14ac:dyDescent="0.3">
      <c r="A22" s="9" t="s">
        <v>17</v>
      </c>
      <c r="B22" s="9"/>
      <c r="C22" s="9"/>
      <c r="D22" s="9"/>
      <c r="E22" s="8">
        <v>12415.61</v>
      </c>
      <c r="F22" s="8">
        <v>13122.14</v>
      </c>
      <c r="G22" s="2">
        <f t="shared" si="0"/>
        <v>14.217280676441355</v>
      </c>
      <c r="H22" s="2">
        <f t="shared" si="1"/>
        <v>15.619884488841699</v>
      </c>
    </row>
    <row r="23" spans="1:8" x14ac:dyDescent="0.3">
      <c r="A23" s="9" t="s">
        <v>18</v>
      </c>
      <c r="B23" s="9"/>
      <c r="C23" s="9"/>
      <c r="D23" s="9"/>
      <c r="E23" s="8">
        <v>87327.6</v>
      </c>
      <c r="F23" s="8">
        <v>84009.2</v>
      </c>
      <c r="G23" s="2">
        <f t="shared" si="0"/>
        <v>100</v>
      </c>
      <c r="H23" s="2">
        <f t="shared" si="1"/>
        <v>100</v>
      </c>
    </row>
    <row r="24" spans="1:8" x14ac:dyDescent="0.3">
      <c r="A24" s="9" t="s">
        <v>19</v>
      </c>
      <c r="B24" s="9"/>
      <c r="C24" s="9"/>
      <c r="D24" s="9"/>
      <c r="H24" s="2"/>
    </row>
    <row r="25" spans="1:8" x14ac:dyDescent="0.3">
      <c r="A25" s="9" t="s">
        <v>20</v>
      </c>
      <c r="B25" s="9"/>
      <c r="C25" s="9"/>
      <c r="D25" s="9"/>
      <c r="H25" s="2"/>
    </row>
    <row r="26" spans="1:8" x14ac:dyDescent="0.3">
      <c r="A26" s="11" t="s">
        <v>21</v>
      </c>
      <c r="B26" s="11"/>
      <c r="C26" s="11"/>
      <c r="D26" s="11"/>
      <c r="E26" s="8">
        <v>22737.19</v>
      </c>
      <c r="F26" s="8">
        <v>16987.349999999999</v>
      </c>
      <c r="G26" s="2">
        <f t="shared" si="0"/>
        <v>26.036659658573001</v>
      </c>
      <c r="H26" s="2">
        <f t="shared" si="1"/>
        <v>20.220821052932298</v>
      </c>
    </row>
    <row r="27" spans="1:8" x14ac:dyDescent="0.3">
      <c r="A27" s="11" t="s">
        <v>22</v>
      </c>
      <c r="B27" s="11"/>
      <c r="C27" s="11"/>
      <c r="D27" s="11"/>
      <c r="E27" s="8">
        <v>2632.94</v>
      </c>
      <c r="F27" s="8">
        <v>2601.2399999999998</v>
      </c>
      <c r="G27" s="2">
        <f t="shared" si="0"/>
        <v>3.0150147261575952</v>
      </c>
      <c r="H27" s="2">
        <f t="shared" si="1"/>
        <v>3.0963751589111665</v>
      </c>
    </row>
    <row r="28" spans="1:8" x14ac:dyDescent="0.3">
      <c r="A28" s="11" t="s">
        <v>23</v>
      </c>
      <c r="B28" s="11"/>
      <c r="C28" s="11"/>
      <c r="D28" s="11"/>
      <c r="E28" s="8">
        <v>1077.97</v>
      </c>
      <c r="F28" s="8">
        <v>1067.79</v>
      </c>
      <c r="G28" s="2">
        <f t="shared" si="0"/>
        <v>1.2343978306972825</v>
      </c>
      <c r="H28" s="2">
        <f t="shared" si="1"/>
        <v>1.2710393623555516</v>
      </c>
    </row>
    <row r="29" spans="1:8" x14ac:dyDescent="0.3">
      <c r="A29" s="11" t="s">
        <v>51</v>
      </c>
      <c r="B29" s="11"/>
      <c r="C29" s="11"/>
      <c r="D29" s="11"/>
      <c r="E29" s="8">
        <v>9.07</v>
      </c>
      <c r="F29" s="8">
        <v>2.91</v>
      </c>
      <c r="G29" s="2">
        <f t="shared" si="0"/>
        <v>1.0386178023900806E-2</v>
      </c>
      <c r="H29" s="2">
        <f t="shared" si="1"/>
        <v>3.4639063340681738E-3</v>
      </c>
    </row>
    <row r="30" spans="1:8" x14ac:dyDescent="0.3">
      <c r="A30" s="11" t="s">
        <v>52</v>
      </c>
      <c r="B30" s="11"/>
      <c r="C30" s="11"/>
      <c r="D30" s="11"/>
      <c r="E30" s="8">
        <v>373.09</v>
      </c>
      <c r="F30" s="8">
        <v>399.89</v>
      </c>
      <c r="G30" s="2">
        <f t="shared" si="0"/>
        <v>0.42723033725878179</v>
      </c>
      <c r="H30" s="2">
        <f t="shared" si="1"/>
        <v>0.47600738966684603</v>
      </c>
    </row>
    <row r="31" spans="1:8" x14ac:dyDescent="0.3">
      <c r="A31" s="9" t="s">
        <v>24</v>
      </c>
      <c r="B31" s="9"/>
      <c r="C31" s="9"/>
      <c r="D31" s="9"/>
      <c r="E31" s="8">
        <v>26830.26</v>
      </c>
      <c r="F31" s="8">
        <v>21059.18</v>
      </c>
      <c r="G31" s="2">
        <f t="shared" si="0"/>
        <v>30.723688730710563</v>
      </c>
      <c r="H31" s="2">
        <f t="shared" si="1"/>
        <v>25.067706870199931</v>
      </c>
    </row>
    <row r="32" spans="1:8" x14ac:dyDescent="0.3">
      <c r="A32" s="11" t="s">
        <v>25</v>
      </c>
      <c r="B32" s="11"/>
      <c r="C32" s="11"/>
      <c r="D32" s="11"/>
      <c r="E32" s="8">
        <v>22821.94</v>
      </c>
      <c r="F32" s="8">
        <v>20701.169999999998</v>
      </c>
      <c r="G32" s="2">
        <f t="shared" si="0"/>
        <v>26.133708014419266</v>
      </c>
      <c r="H32" s="2">
        <f t="shared" si="1"/>
        <v>24.641551163444003</v>
      </c>
    </row>
    <row r="33" spans="1:8" x14ac:dyDescent="0.3">
      <c r="A33" s="11" t="s">
        <v>26</v>
      </c>
      <c r="B33" s="11"/>
      <c r="C33" s="11"/>
      <c r="D33" s="11"/>
      <c r="E33" s="8">
        <v>2.63</v>
      </c>
      <c r="F33" s="8">
        <v>6.28</v>
      </c>
      <c r="G33" s="2">
        <f t="shared" si="0"/>
        <v>3.0116480929282376E-3</v>
      </c>
      <c r="H33" s="2">
        <f t="shared" si="1"/>
        <v>7.4753717449993571E-3</v>
      </c>
    </row>
    <row r="34" spans="1:8" x14ac:dyDescent="0.3">
      <c r="A34" s="11" t="s">
        <v>27</v>
      </c>
      <c r="B34" s="11"/>
      <c r="C34" s="11"/>
      <c r="D34" s="11"/>
      <c r="E34" s="8">
        <v>1602.1</v>
      </c>
      <c r="F34" s="8">
        <v>2486.63</v>
      </c>
      <c r="G34" s="2">
        <f t="shared" si="0"/>
        <v>1.8345860873309239</v>
      </c>
      <c r="H34" s="2">
        <f t="shared" si="1"/>
        <v>2.959949624564929</v>
      </c>
    </row>
    <row r="35" spans="1:8" x14ac:dyDescent="0.3">
      <c r="A35" s="9" t="s">
        <v>28</v>
      </c>
      <c r="B35" s="9"/>
      <c r="C35" s="9"/>
      <c r="D35" s="9"/>
      <c r="E35" s="8">
        <v>51256.93</v>
      </c>
      <c r="F35" s="8">
        <v>44253.26</v>
      </c>
      <c r="G35" s="2">
        <f t="shared" si="0"/>
        <v>58.694994480553689</v>
      </c>
      <c r="H35" s="2">
        <f t="shared" si="1"/>
        <v>52.676683029953864</v>
      </c>
    </row>
    <row r="36" spans="1:8" x14ac:dyDescent="0.3">
      <c r="A36" s="9" t="s">
        <v>29</v>
      </c>
      <c r="B36" s="9"/>
      <c r="C36" s="9"/>
      <c r="D36" s="9"/>
      <c r="H36" s="2"/>
    </row>
    <row r="37" spans="1:8" x14ac:dyDescent="0.3">
      <c r="A37" s="11" t="s">
        <v>30</v>
      </c>
      <c r="B37" s="11"/>
      <c r="C37" s="11"/>
      <c r="D37" s="11"/>
      <c r="E37" s="8">
        <v>11916.88</v>
      </c>
      <c r="F37" s="8">
        <v>15285.91</v>
      </c>
      <c r="G37" s="2">
        <f t="shared" si="0"/>
        <v>13.646178298728007</v>
      </c>
      <c r="H37" s="2">
        <f t="shared" si="1"/>
        <v>18.195519062197953</v>
      </c>
    </row>
    <row r="38" spans="1:8" x14ac:dyDescent="0.3">
      <c r="A38" s="11" t="s">
        <v>31</v>
      </c>
      <c r="B38" s="11"/>
      <c r="C38" s="11"/>
      <c r="D38" s="11"/>
      <c r="E38" s="8">
        <v>12631.51</v>
      </c>
      <c r="F38" s="8">
        <v>15061.01</v>
      </c>
      <c r="G38" s="2">
        <f t="shared" si="0"/>
        <v>14.464510647263864</v>
      </c>
      <c r="H38" s="2">
        <f t="shared" si="1"/>
        <v>17.927810287444711</v>
      </c>
    </row>
    <row r="39" spans="1:8" x14ac:dyDescent="0.3">
      <c r="A39" s="11" t="s">
        <v>32</v>
      </c>
      <c r="B39" s="11"/>
      <c r="C39" s="11"/>
      <c r="D39" s="11"/>
      <c r="E39" s="8">
        <v>3311.45</v>
      </c>
      <c r="F39" s="8">
        <v>3910.77</v>
      </c>
      <c r="G39" s="2">
        <f t="shared" si="0"/>
        <v>3.7919855807327805</v>
      </c>
      <c r="H39" s="2">
        <f t="shared" si="1"/>
        <v>4.6551687196164231</v>
      </c>
    </row>
    <row r="40" spans="1:8" x14ac:dyDescent="0.3">
      <c r="A40" s="11" t="s">
        <v>33</v>
      </c>
      <c r="B40" s="11"/>
      <c r="C40" s="11"/>
      <c r="D40" s="11"/>
      <c r="E40" s="8">
        <v>6217.69</v>
      </c>
      <c r="F40" s="8">
        <v>3184.38</v>
      </c>
      <c r="G40" s="2">
        <f t="shared" si="0"/>
        <v>7.1199597836193815</v>
      </c>
      <c r="H40" s="2">
        <f t="shared" si="1"/>
        <v>3.7905134199587667</v>
      </c>
    </row>
    <row r="41" spans="1:8" x14ac:dyDescent="0.3">
      <c r="A41" s="11" t="s">
        <v>34</v>
      </c>
      <c r="B41" s="11"/>
      <c r="C41" s="11"/>
      <c r="D41" s="11"/>
      <c r="E41" s="8">
        <v>9.1</v>
      </c>
      <c r="F41" s="8">
        <v>8.9600000000000009</v>
      </c>
      <c r="G41" s="2">
        <f t="shared" si="0"/>
        <v>1.0420531424200366E-2</v>
      </c>
      <c r="H41" s="2">
        <f t="shared" si="1"/>
        <v>1.0665498540636026E-2</v>
      </c>
    </row>
    <row r="42" spans="1:8" x14ac:dyDescent="0.3">
      <c r="A42" s="11" t="s">
        <v>35</v>
      </c>
      <c r="B42" s="11"/>
      <c r="C42" s="11"/>
      <c r="D42" s="11"/>
      <c r="E42" s="8">
        <v>1984.04</v>
      </c>
      <c r="F42" s="8">
        <v>2304.91</v>
      </c>
      <c r="G42" s="2">
        <f t="shared" si="0"/>
        <v>2.2719506776780767</v>
      </c>
      <c r="H42" s="2">
        <f t="shared" si="1"/>
        <v>2.7436399822876543</v>
      </c>
    </row>
    <row r="43" spans="1:8" x14ac:dyDescent="0.3">
      <c r="A43" s="9" t="s">
        <v>36</v>
      </c>
      <c r="B43" s="9"/>
      <c r="C43" s="9"/>
      <c r="D43" s="9"/>
      <c r="E43" s="8">
        <v>36070.67</v>
      </c>
      <c r="F43" s="8">
        <v>39755.94</v>
      </c>
      <c r="G43" s="2">
        <f t="shared" si="0"/>
        <v>41.305005519446311</v>
      </c>
      <c r="H43" s="2">
        <f t="shared" si="1"/>
        <v>47.323316970046143</v>
      </c>
    </row>
    <row r="44" spans="1:8" x14ac:dyDescent="0.3">
      <c r="A44" s="9" t="s">
        <v>37</v>
      </c>
      <c r="B44" s="9"/>
      <c r="C44" s="9"/>
      <c r="D44" s="9"/>
      <c r="E44" s="8">
        <v>87327.6</v>
      </c>
      <c r="F44" s="8">
        <v>84009.2</v>
      </c>
      <c r="G44" s="2">
        <f t="shared" si="0"/>
        <v>100</v>
      </c>
      <c r="H44" s="2">
        <f t="shared" si="1"/>
        <v>100</v>
      </c>
    </row>
  </sheetData>
  <mergeCells count="44">
    <mergeCell ref="A7:D7"/>
    <mergeCell ref="A2:D2"/>
    <mergeCell ref="A3:D3"/>
    <mergeCell ref="A4:D4"/>
    <mergeCell ref="A5:D5"/>
    <mergeCell ref="A6:D6"/>
    <mergeCell ref="A19:D19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28:D28"/>
    <mergeCell ref="A29:D29"/>
    <mergeCell ref="A30:D30"/>
    <mergeCell ref="A31:D31"/>
    <mergeCell ref="A20:D20"/>
    <mergeCell ref="A21:D21"/>
    <mergeCell ref="A22:D22"/>
    <mergeCell ref="A23:D23"/>
    <mergeCell ref="A24:D24"/>
    <mergeCell ref="A25:D25"/>
    <mergeCell ref="A43:D43"/>
    <mergeCell ref="A44:D44"/>
    <mergeCell ref="A38:D38"/>
    <mergeCell ref="A39:D39"/>
    <mergeCell ref="A1:H1"/>
    <mergeCell ref="A40:D40"/>
    <mergeCell ref="A41:D41"/>
    <mergeCell ref="A42:D42"/>
    <mergeCell ref="A32:D32"/>
    <mergeCell ref="A33:D33"/>
    <mergeCell ref="A34:D34"/>
    <mergeCell ref="A35:D35"/>
    <mergeCell ref="A36:D36"/>
    <mergeCell ref="A37:D37"/>
    <mergeCell ref="A26:D26"/>
    <mergeCell ref="A27:D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3D8B-5151-4D33-B32D-0F3CA2140FD5}">
  <dimension ref="A1:N16"/>
  <sheetViews>
    <sheetView tabSelected="1" workbookViewId="0">
      <selection activeCell="P9" sqref="P9"/>
    </sheetView>
  </sheetViews>
  <sheetFormatPr defaultRowHeight="14.4" x14ac:dyDescent="0.3"/>
  <sheetData>
    <row r="1" spans="1:14" ht="21" x14ac:dyDescent="0.4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spans="1:14" x14ac:dyDescent="0.3">
      <c r="A3" s="15" t="s">
        <v>54</v>
      </c>
    </row>
    <row r="4" spans="1:14" x14ac:dyDescent="0.3">
      <c r="A4" t="s">
        <v>55</v>
      </c>
    </row>
    <row r="6" spans="1:14" x14ac:dyDescent="0.3">
      <c r="A6" s="15" t="s">
        <v>56</v>
      </c>
    </row>
    <row r="7" spans="1:14" x14ac:dyDescent="0.3">
      <c r="A7" t="s">
        <v>57</v>
      </c>
    </row>
    <row r="9" spans="1:14" x14ac:dyDescent="0.3">
      <c r="A9" s="15" t="s">
        <v>58</v>
      </c>
    </row>
    <row r="10" spans="1:14" x14ac:dyDescent="0.3">
      <c r="A10" t="s">
        <v>59</v>
      </c>
    </row>
    <row r="12" spans="1:14" x14ac:dyDescent="0.3">
      <c r="A12" s="15" t="s">
        <v>60</v>
      </c>
    </row>
    <row r="13" spans="1:14" x14ac:dyDescent="0.3">
      <c r="A13" t="s">
        <v>61</v>
      </c>
    </row>
    <row r="15" spans="1:14" x14ac:dyDescent="0.3">
      <c r="A15" s="15" t="s">
        <v>62</v>
      </c>
    </row>
    <row r="16" spans="1:14" x14ac:dyDescent="0.3">
      <c r="A16" t="s">
        <v>63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HUL – Comparative Balance Sheet</vt:lpstr>
      <vt:lpstr>HUL – Common-Size Balance Sheet</vt:lpstr>
      <vt:lpstr>ITC – Comparative Balance Sheet</vt:lpstr>
      <vt:lpstr>ITC – Common-Size Balance Sheet</vt:lpstr>
      <vt:lpstr>Comparison Insights (HUL vs 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Awale</dc:creator>
  <cp:lastModifiedBy>Jitesh Awale</cp:lastModifiedBy>
  <dcterms:created xsi:type="dcterms:W3CDTF">2026-01-02T12:18:37Z</dcterms:created>
  <dcterms:modified xsi:type="dcterms:W3CDTF">2026-01-03T11:51:35Z</dcterms:modified>
</cp:coreProperties>
</file>